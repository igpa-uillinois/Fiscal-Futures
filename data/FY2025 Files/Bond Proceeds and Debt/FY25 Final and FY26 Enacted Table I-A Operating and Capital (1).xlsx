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aw\Downloads\"/>
    </mc:Choice>
  </mc:AlternateContent>
  <xr:revisionPtr revIDLastSave="0" documentId="8_{BDECEEB3-225C-4B9B-AFC8-3E34DE720346}" xr6:coauthVersionLast="47" xr6:coauthVersionMax="47" xr10:uidLastSave="{00000000-0000-0000-0000-000000000000}"/>
  <bookViews>
    <workbookView xWindow="10455" yWindow="-16200" windowWidth="17880" windowHeight="15600" xr2:uid="{5BE2243F-499E-4A06-96E7-49113CA65D73}"/>
  </bookViews>
  <sheets>
    <sheet name="TableTrack" sheetId="1" r:id="rId1"/>
  </sheets>
  <definedNames>
    <definedName name="_xlnm._FilterDatabase" localSheetId="0" hidden="1">TableTrack!$A$3:$Y$458</definedName>
    <definedName name="_xlnm.Print_Area" localSheetId="0">TableTrack!$A$1:$I$458</definedName>
    <definedName name="_xlnm.Print_Titles" localSheetId="0">TableTrack!$3:$3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6" i="1" l="1"/>
  <c r="H457" i="1"/>
  <c r="H458" i="1"/>
  <c r="E456" i="1"/>
  <c r="E457" i="1"/>
  <c r="E458" i="1"/>
  <c r="H443" i="1"/>
  <c r="H444" i="1"/>
  <c r="H445" i="1"/>
  <c r="H447" i="1"/>
  <c r="H448" i="1"/>
  <c r="H449" i="1"/>
  <c r="E443" i="1"/>
  <c r="E444" i="1"/>
  <c r="E445" i="1"/>
  <c r="E447" i="1"/>
  <c r="E448" i="1"/>
  <c r="E449" i="1"/>
  <c r="H378" i="1"/>
  <c r="H379" i="1"/>
  <c r="H380" i="1"/>
  <c r="E378" i="1"/>
  <c r="E379" i="1"/>
  <c r="E380" i="1"/>
  <c r="H365" i="1"/>
  <c r="H366" i="1"/>
  <c r="H367" i="1"/>
  <c r="E365" i="1"/>
  <c r="E366" i="1"/>
  <c r="E367" i="1"/>
  <c r="H140" i="1"/>
  <c r="H141" i="1"/>
  <c r="H142" i="1"/>
  <c r="E140" i="1"/>
  <c r="E141" i="1"/>
  <c r="E142" i="1"/>
  <c r="H99" i="1"/>
  <c r="H100" i="1"/>
  <c r="H101" i="1"/>
  <c r="E99" i="1"/>
  <c r="E100" i="1"/>
  <c r="E101" i="1"/>
  <c r="H58" i="1"/>
  <c r="H59" i="1"/>
  <c r="H60" i="1"/>
  <c r="E58" i="1"/>
  <c r="E59" i="1"/>
  <c r="E60" i="1"/>
  <c r="I454" i="1"/>
  <c r="I453" i="1"/>
  <c r="I452" i="1"/>
  <c r="H451" i="1"/>
  <c r="I441" i="1"/>
  <c r="I440" i="1"/>
  <c r="I439" i="1"/>
  <c r="I438" i="1"/>
  <c r="H438" i="1"/>
  <c r="I437" i="1"/>
  <c r="I436" i="1"/>
  <c r="I435" i="1"/>
  <c r="I434" i="1"/>
  <c r="H434" i="1"/>
  <c r="I433" i="1"/>
  <c r="I432" i="1"/>
  <c r="I431" i="1"/>
  <c r="H430" i="1"/>
  <c r="I429" i="1"/>
  <c r="I428" i="1"/>
  <c r="I427" i="1"/>
  <c r="I426" i="1"/>
  <c r="H426" i="1"/>
  <c r="I425" i="1"/>
  <c r="I424" i="1"/>
  <c r="I423" i="1"/>
  <c r="I422" i="1"/>
  <c r="H422" i="1"/>
  <c r="I421" i="1"/>
  <c r="I420" i="1"/>
  <c r="I419" i="1"/>
  <c r="I418" i="1"/>
  <c r="H418" i="1"/>
  <c r="I417" i="1"/>
  <c r="I416" i="1"/>
  <c r="I415" i="1"/>
  <c r="H414" i="1"/>
  <c r="I413" i="1"/>
  <c r="I410" i="1"/>
  <c r="I412" i="1"/>
  <c r="I411" i="1"/>
  <c r="H410" i="1"/>
  <c r="I409" i="1"/>
  <c r="I408" i="1"/>
  <c r="I407" i="1"/>
  <c r="I406" i="1"/>
  <c r="H406" i="1"/>
  <c r="I405" i="1"/>
  <c r="I404" i="1"/>
  <c r="I403" i="1"/>
  <c r="I402" i="1"/>
  <c r="H402" i="1"/>
  <c r="I401" i="1"/>
  <c r="I400" i="1"/>
  <c r="I399" i="1"/>
  <c r="I398" i="1"/>
  <c r="H398" i="1"/>
  <c r="I397" i="1"/>
  <c r="I396" i="1"/>
  <c r="I395" i="1"/>
  <c r="I394" i="1"/>
  <c r="H394" i="1"/>
  <c r="I393" i="1"/>
  <c r="I392" i="1"/>
  <c r="I391" i="1"/>
  <c r="I390" i="1"/>
  <c r="H390" i="1"/>
  <c r="I389" i="1"/>
  <c r="I388" i="1"/>
  <c r="I387" i="1"/>
  <c r="I386" i="1"/>
  <c r="H386" i="1"/>
  <c r="I385" i="1"/>
  <c r="I384" i="1"/>
  <c r="I383" i="1"/>
  <c r="I382" i="1"/>
  <c r="H382" i="1"/>
  <c r="I376" i="1"/>
  <c r="I375" i="1"/>
  <c r="I374" i="1"/>
  <c r="H373" i="1"/>
  <c r="I372" i="1"/>
  <c r="I380" i="1"/>
  <c r="I371" i="1"/>
  <c r="I379" i="1"/>
  <c r="I370" i="1"/>
  <c r="I378" i="1"/>
  <c r="I369" i="1"/>
  <c r="H369" i="1"/>
  <c r="H377" i="1"/>
  <c r="I363" i="1"/>
  <c r="I362" i="1"/>
  <c r="I361" i="1"/>
  <c r="I360" i="1"/>
  <c r="H360" i="1"/>
  <c r="I359" i="1"/>
  <c r="I358" i="1"/>
  <c r="I357" i="1"/>
  <c r="I356" i="1"/>
  <c r="H356" i="1"/>
  <c r="I355" i="1"/>
  <c r="I354" i="1"/>
  <c r="I353" i="1"/>
  <c r="I352" i="1"/>
  <c r="H352" i="1"/>
  <c r="I351" i="1"/>
  <c r="I350" i="1"/>
  <c r="I349" i="1"/>
  <c r="H348" i="1"/>
  <c r="I347" i="1"/>
  <c r="I346" i="1"/>
  <c r="I345" i="1"/>
  <c r="H344" i="1"/>
  <c r="I343" i="1"/>
  <c r="I342" i="1"/>
  <c r="I341" i="1"/>
  <c r="I340" i="1"/>
  <c r="H340" i="1"/>
  <c r="I339" i="1"/>
  <c r="I338" i="1"/>
  <c r="I337" i="1"/>
  <c r="I336" i="1"/>
  <c r="H336" i="1"/>
  <c r="I335" i="1"/>
  <c r="I334" i="1"/>
  <c r="I333" i="1"/>
  <c r="I332" i="1"/>
  <c r="H332" i="1"/>
  <c r="I331" i="1"/>
  <c r="I330" i="1"/>
  <c r="I329" i="1"/>
  <c r="I328" i="1"/>
  <c r="H328" i="1"/>
  <c r="I327" i="1"/>
  <c r="I326" i="1"/>
  <c r="I325" i="1"/>
  <c r="I324" i="1"/>
  <c r="H324" i="1"/>
  <c r="I323" i="1"/>
  <c r="I322" i="1"/>
  <c r="I321" i="1"/>
  <c r="I320" i="1"/>
  <c r="H320" i="1"/>
  <c r="I319" i="1"/>
  <c r="I318" i="1"/>
  <c r="I317" i="1"/>
  <c r="H316" i="1"/>
  <c r="I315" i="1"/>
  <c r="I314" i="1"/>
  <c r="I313" i="1"/>
  <c r="I312" i="1"/>
  <c r="H312" i="1"/>
  <c r="I311" i="1"/>
  <c r="I310" i="1"/>
  <c r="I309" i="1"/>
  <c r="H308" i="1"/>
  <c r="I307" i="1"/>
  <c r="I306" i="1"/>
  <c r="I305" i="1"/>
  <c r="H304" i="1"/>
  <c r="I303" i="1"/>
  <c r="I302" i="1"/>
  <c r="I301" i="1"/>
  <c r="I300" i="1"/>
  <c r="H300" i="1"/>
  <c r="I299" i="1"/>
  <c r="I298" i="1"/>
  <c r="I297" i="1"/>
  <c r="H296" i="1"/>
  <c r="I295" i="1"/>
  <c r="I294" i="1"/>
  <c r="I293" i="1"/>
  <c r="I292" i="1"/>
  <c r="H292" i="1"/>
  <c r="I291" i="1"/>
  <c r="I290" i="1"/>
  <c r="I289" i="1"/>
  <c r="I288" i="1"/>
  <c r="H288" i="1"/>
  <c r="I287" i="1"/>
  <c r="I286" i="1"/>
  <c r="I285" i="1"/>
  <c r="I284" i="1"/>
  <c r="H284" i="1"/>
  <c r="I283" i="1"/>
  <c r="I282" i="1"/>
  <c r="I281" i="1"/>
  <c r="I280" i="1"/>
  <c r="H280" i="1"/>
  <c r="I279" i="1"/>
  <c r="I278" i="1"/>
  <c r="I277" i="1"/>
  <c r="H276" i="1"/>
  <c r="I275" i="1"/>
  <c r="I274" i="1"/>
  <c r="I273" i="1"/>
  <c r="H272" i="1"/>
  <c r="I271" i="1"/>
  <c r="I270" i="1"/>
  <c r="I269" i="1"/>
  <c r="I268" i="1"/>
  <c r="H268" i="1"/>
  <c r="I267" i="1"/>
  <c r="I266" i="1"/>
  <c r="I265" i="1"/>
  <c r="H264" i="1"/>
  <c r="I263" i="1"/>
  <c r="I262" i="1"/>
  <c r="I261" i="1"/>
  <c r="I260" i="1"/>
  <c r="H260" i="1"/>
  <c r="I259" i="1"/>
  <c r="I258" i="1"/>
  <c r="I257" i="1"/>
  <c r="I256" i="1"/>
  <c r="H256" i="1"/>
  <c r="I255" i="1"/>
  <c r="I254" i="1"/>
  <c r="I253" i="1"/>
  <c r="H252" i="1"/>
  <c r="I251" i="1"/>
  <c r="I250" i="1"/>
  <c r="I249" i="1"/>
  <c r="I248" i="1"/>
  <c r="H248" i="1"/>
  <c r="I247" i="1"/>
  <c r="I246" i="1"/>
  <c r="I245" i="1"/>
  <c r="I244" i="1"/>
  <c r="H244" i="1"/>
  <c r="I243" i="1"/>
  <c r="I242" i="1"/>
  <c r="I241" i="1"/>
  <c r="I240" i="1"/>
  <c r="H240" i="1"/>
  <c r="I239" i="1"/>
  <c r="I238" i="1"/>
  <c r="I237" i="1"/>
  <c r="H236" i="1"/>
  <c r="I235" i="1"/>
  <c r="I234" i="1"/>
  <c r="I233" i="1"/>
  <c r="I232" i="1"/>
  <c r="H232" i="1"/>
  <c r="I231" i="1"/>
  <c r="I230" i="1"/>
  <c r="I229" i="1"/>
  <c r="H228" i="1"/>
  <c r="I227" i="1"/>
  <c r="I226" i="1"/>
  <c r="I225" i="1"/>
  <c r="H224" i="1"/>
  <c r="I223" i="1"/>
  <c r="I222" i="1"/>
  <c r="I221" i="1"/>
  <c r="I220" i="1"/>
  <c r="H220" i="1"/>
  <c r="I219" i="1"/>
  <c r="I218" i="1"/>
  <c r="I217" i="1"/>
  <c r="I216" i="1"/>
  <c r="H216" i="1"/>
  <c r="I215" i="1"/>
  <c r="I214" i="1"/>
  <c r="I213" i="1"/>
  <c r="I212" i="1"/>
  <c r="H212" i="1"/>
  <c r="I211" i="1"/>
  <c r="I210" i="1"/>
  <c r="I209" i="1"/>
  <c r="I208" i="1"/>
  <c r="H208" i="1"/>
  <c r="I207" i="1"/>
  <c r="I206" i="1"/>
  <c r="I205" i="1"/>
  <c r="H204" i="1"/>
  <c r="I203" i="1"/>
  <c r="I202" i="1"/>
  <c r="I201" i="1"/>
  <c r="H200" i="1"/>
  <c r="I199" i="1"/>
  <c r="I198" i="1"/>
  <c r="I197" i="1"/>
  <c r="H196" i="1"/>
  <c r="I195" i="1"/>
  <c r="I194" i="1"/>
  <c r="I193" i="1"/>
  <c r="H192" i="1"/>
  <c r="I191" i="1"/>
  <c r="I190" i="1"/>
  <c r="I189" i="1"/>
  <c r="H188" i="1"/>
  <c r="I187" i="1"/>
  <c r="I186" i="1"/>
  <c r="I185" i="1"/>
  <c r="I184" i="1"/>
  <c r="H184" i="1"/>
  <c r="I183" i="1"/>
  <c r="I182" i="1"/>
  <c r="I181" i="1"/>
  <c r="I180" i="1"/>
  <c r="H180" i="1"/>
  <c r="I179" i="1"/>
  <c r="I178" i="1"/>
  <c r="I177" i="1"/>
  <c r="H176" i="1"/>
  <c r="I175" i="1"/>
  <c r="I172" i="1"/>
  <c r="I174" i="1"/>
  <c r="I173" i="1"/>
  <c r="H172" i="1"/>
  <c r="I171" i="1"/>
  <c r="I170" i="1"/>
  <c r="I169" i="1"/>
  <c r="I168" i="1"/>
  <c r="H168" i="1"/>
  <c r="I167" i="1"/>
  <c r="I166" i="1"/>
  <c r="I165" i="1"/>
  <c r="H164" i="1"/>
  <c r="I163" i="1"/>
  <c r="I162" i="1"/>
  <c r="I161" i="1"/>
  <c r="H160" i="1"/>
  <c r="I159" i="1"/>
  <c r="I158" i="1"/>
  <c r="I157" i="1"/>
  <c r="I156" i="1"/>
  <c r="H156" i="1"/>
  <c r="I155" i="1"/>
  <c r="I154" i="1"/>
  <c r="I153" i="1"/>
  <c r="H152" i="1"/>
  <c r="I151" i="1"/>
  <c r="I150" i="1"/>
  <c r="I149" i="1"/>
  <c r="H148" i="1"/>
  <c r="I147" i="1"/>
  <c r="I146" i="1"/>
  <c r="I145" i="1"/>
  <c r="I144" i="1"/>
  <c r="H144" i="1"/>
  <c r="I138" i="1"/>
  <c r="I137" i="1"/>
  <c r="I136" i="1"/>
  <c r="I135" i="1"/>
  <c r="H135" i="1"/>
  <c r="I134" i="1"/>
  <c r="I133" i="1"/>
  <c r="I132" i="1"/>
  <c r="H131" i="1"/>
  <c r="I130" i="1"/>
  <c r="I129" i="1"/>
  <c r="I128" i="1"/>
  <c r="I127" i="1"/>
  <c r="H127" i="1"/>
  <c r="I126" i="1"/>
  <c r="I125" i="1"/>
  <c r="I124" i="1"/>
  <c r="H123" i="1"/>
  <c r="I122" i="1"/>
  <c r="I121" i="1"/>
  <c r="I120" i="1"/>
  <c r="I119" i="1"/>
  <c r="H119" i="1"/>
  <c r="I118" i="1"/>
  <c r="I117" i="1"/>
  <c r="I116" i="1"/>
  <c r="H115" i="1"/>
  <c r="I114" i="1"/>
  <c r="I113" i="1"/>
  <c r="I112" i="1"/>
  <c r="I111" i="1"/>
  <c r="H111" i="1"/>
  <c r="I110" i="1"/>
  <c r="I109" i="1"/>
  <c r="I108" i="1"/>
  <c r="H107" i="1"/>
  <c r="I106" i="1"/>
  <c r="I105" i="1"/>
  <c r="I104" i="1"/>
  <c r="I140" i="1"/>
  <c r="I103" i="1"/>
  <c r="H103" i="1"/>
  <c r="I97" i="1"/>
  <c r="I96" i="1"/>
  <c r="I95" i="1"/>
  <c r="H94" i="1"/>
  <c r="I93" i="1"/>
  <c r="I92" i="1"/>
  <c r="I91" i="1"/>
  <c r="I90" i="1"/>
  <c r="H90" i="1"/>
  <c r="I89" i="1"/>
  <c r="I88" i="1"/>
  <c r="I87" i="1"/>
  <c r="I86" i="1"/>
  <c r="H86" i="1"/>
  <c r="I85" i="1"/>
  <c r="I84" i="1"/>
  <c r="I83" i="1"/>
  <c r="I82" i="1"/>
  <c r="H82" i="1"/>
  <c r="I81" i="1"/>
  <c r="I80" i="1"/>
  <c r="I79" i="1"/>
  <c r="I78" i="1"/>
  <c r="H78" i="1"/>
  <c r="I77" i="1"/>
  <c r="I76" i="1"/>
  <c r="I75" i="1"/>
  <c r="I74" i="1"/>
  <c r="H74" i="1"/>
  <c r="I73" i="1"/>
  <c r="I72" i="1"/>
  <c r="I71" i="1"/>
  <c r="H70" i="1"/>
  <c r="I69" i="1"/>
  <c r="I68" i="1"/>
  <c r="I67" i="1"/>
  <c r="H66" i="1"/>
  <c r="I65" i="1"/>
  <c r="I64" i="1"/>
  <c r="I63" i="1"/>
  <c r="I62" i="1"/>
  <c r="H62" i="1"/>
  <c r="I56" i="1"/>
  <c r="I55" i="1"/>
  <c r="I54" i="1"/>
  <c r="I53" i="1"/>
  <c r="H53" i="1"/>
  <c r="I52" i="1"/>
  <c r="I51" i="1"/>
  <c r="I50" i="1"/>
  <c r="I49" i="1"/>
  <c r="H49" i="1"/>
  <c r="I48" i="1"/>
  <c r="I47" i="1"/>
  <c r="I46" i="1"/>
  <c r="I45" i="1"/>
  <c r="H45" i="1"/>
  <c r="I44" i="1"/>
  <c r="I43" i="1"/>
  <c r="I42" i="1"/>
  <c r="H41" i="1"/>
  <c r="I40" i="1"/>
  <c r="I39" i="1"/>
  <c r="I38" i="1"/>
  <c r="I37" i="1"/>
  <c r="H37" i="1"/>
  <c r="I36" i="1"/>
  <c r="I35" i="1"/>
  <c r="I34" i="1"/>
  <c r="H33" i="1"/>
  <c r="I32" i="1"/>
  <c r="I31" i="1"/>
  <c r="I30" i="1"/>
  <c r="I29" i="1"/>
  <c r="H29" i="1"/>
  <c r="I28" i="1"/>
  <c r="I27" i="1"/>
  <c r="I26" i="1"/>
  <c r="H25" i="1"/>
  <c r="I24" i="1"/>
  <c r="I23" i="1"/>
  <c r="I22" i="1"/>
  <c r="I21" i="1"/>
  <c r="H21" i="1"/>
  <c r="I20" i="1"/>
  <c r="I19" i="1"/>
  <c r="I18" i="1"/>
  <c r="I17" i="1"/>
  <c r="H17" i="1"/>
  <c r="I16" i="1"/>
  <c r="I15" i="1"/>
  <c r="I14" i="1"/>
  <c r="I13" i="1"/>
  <c r="H13" i="1"/>
  <c r="I12" i="1"/>
  <c r="I11" i="1"/>
  <c r="I10" i="1"/>
  <c r="H9" i="1"/>
  <c r="F454" i="1"/>
  <c r="F453" i="1"/>
  <c r="F452" i="1"/>
  <c r="F451" i="1"/>
  <c r="E451" i="1"/>
  <c r="F441" i="1"/>
  <c r="F440" i="1"/>
  <c r="F439" i="1"/>
  <c r="E438" i="1"/>
  <c r="F437" i="1"/>
  <c r="F436" i="1"/>
  <c r="F435" i="1"/>
  <c r="F434" i="1"/>
  <c r="E434" i="1"/>
  <c r="F433" i="1"/>
  <c r="F432" i="1"/>
  <c r="F431" i="1"/>
  <c r="F430" i="1"/>
  <c r="E430" i="1"/>
  <c r="F429" i="1"/>
  <c r="F428" i="1"/>
  <c r="F427" i="1"/>
  <c r="E426" i="1"/>
  <c r="F425" i="1"/>
  <c r="F424" i="1"/>
  <c r="F423" i="1"/>
  <c r="F422" i="1"/>
  <c r="E422" i="1"/>
  <c r="F421" i="1"/>
  <c r="F420" i="1"/>
  <c r="F419" i="1"/>
  <c r="F418" i="1"/>
  <c r="E418" i="1"/>
  <c r="F417" i="1"/>
  <c r="F416" i="1"/>
  <c r="F415" i="1"/>
  <c r="F414" i="1"/>
  <c r="E414" i="1"/>
  <c r="F413" i="1"/>
  <c r="F412" i="1"/>
  <c r="F411" i="1"/>
  <c r="F410" i="1"/>
  <c r="E410" i="1"/>
  <c r="F409" i="1"/>
  <c r="F408" i="1"/>
  <c r="F407" i="1"/>
  <c r="F406" i="1"/>
  <c r="E406" i="1"/>
  <c r="F405" i="1"/>
  <c r="F404" i="1"/>
  <c r="F403" i="1"/>
  <c r="F402" i="1"/>
  <c r="E402" i="1"/>
  <c r="F401" i="1"/>
  <c r="F400" i="1"/>
  <c r="F399" i="1"/>
  <c r="F398" i="1"/>
  <c r="E398" i="1"/>
  <c r="F397" i="1"/>
  <c r="F396" i="1"/>
  <c r="F395" i="1"/>
  <c r="E394" i="1"/>
  <c r="F393" i="1"/>
  <c r="F392" i="1"/>
  <c r="F391" i="1"/>
  <c r="F390" i="1"/>
  <c r="E390" i="1"/>
  <c r="F389" i="1"/>
  <c r="F388" i="1"/>
  <c r="F387" i="1"/>
  <c r="E386" i="1"/>
  <c r="F385" i="1"/>
  <c r="F384" i="1"/>
  <c r="F383" i="1"/>
  <c r="E382" i="1"/>
  <c r="F376" i="1"/>
  <c r="F375" i="1"/>
  <c r="F374" i="1"/>
  <c r="F373" i="1"/>
  <c r="E373" i="1"/>
  <c r="F372" i="1"/>
  <c r="F380" i="1"/>
  <c r="F371" i="1"/>
  <c r="F379" i="1"/>
  <c r="F370" i="1"/>
  <c r="F378" i="1"/>
  <c r="F369" i="1"/>
  <c r="F377" i="1"/>
  <c r="E369" i="1"/>
  <c r="F363" i="1"/>
  <c r="F362" i="1"/>
  <c r="F361" i="1"/>
  <c r="E360" i="1"/>
  <c r="F359" i="1"/>
  <c r="F358" i="1"/>
  <c r="F357" i="1"/>
  <c r="F356" i="1"/>
  <c r="E356" i="1"/>
  <c r="F355" i="1"/>
  <c r="F354" i="1"/>
  <c r="F353" i="1"/>
  <c r="F352" i="1"/>
  <c r="E352" i="1"/>
  <c r="F351" i="1"/>
  <c r="F350" i="1"/>
  <c r="F349" i="1"/>
  <c r="E348" i="1"/>
  <c r="F347" i="1"/>
  <c r="F346" i="1"/>
  <c r="F345" i="1"/>
  <c r="F344" i="1"/>
  <c r="E344" i="1"/>
  <c r="F343" i="1"/>
  <c r="F342" i="1"/>
  <c r="F341" i="1"/>
  <c r="F340" i="1"/>
  <c r="E340" i="1"/>
  <c r="F339" i="1"/>
  <c r="F338" i="1"/>
  <c r="F337" i="1"/>
  <c r="F336" i="1"/>
  <c r="E336" i="1"/>
  <c r="F335" i="1"/>
  <c r="F334" i="1"/>
  <c r="F333" i="1"/>
  <c r="F332" i="1"/>
  <c r="E332" i="1"/>
  <c r="F331" i="1"/>
  <c r="F330" i="1"/>
  <c r="F329" i="1"/>
  <c r="F328" i="1"/>
  <c r="E328" i="1"/>
  <c r="F327" i="1"/>
  <c r="F326" i="1"/>
  <c r="F325" i="1"/>
  <c r="F324" i="1"/>
  <c r="E324" i="1"/>
  <c r="F323" i="1"/>
  <c r="F322" i="1"/>
  <c r="F321" i="1"/>
  <c r="F320" i="1"/>
  <c r="E320" i="1"/>
  <c r="F319" i="1"/>
  <c r="F318" i="1"/>
  <c r="F317" i="1"/>
  <c r="E316" i="1"/>
  <c r="F315" i="1"/>
  <c r="F314" i="1"/>
  <c r="F313" i="1"/>
  <c r="F312" i="1"/>
  <c r="E312" i="1"/>
  <c r="F311" i="1"/>
  <c r="F310" i="1"/>
  <c r="F309" i="1"/>
  <c r="F308" i="1"/>
  <c r="E308" i="1"/>
  <c r="F307" i="1"/>
  <c r="F306" i="1"/>
  <c r="F305" i="1"/>
  <c r="E304" i="1"/>
  <c r="F303" i="1"/>
  <c r="F302" i="1"/>
  <c r="F301" i="1"/>
  <c r="F300" i="1"/>
  <c r="E300" i="1"/>
  <c r="F299" i="1"/>
  <c r="F298" i="1"/>
  <c r="F297" i="1"/>
  <c r="F296" i="1"/>
  <c r="E296" i="1"/>
  <c r="F295" i="1"/>
  <c r="F294" i="1"/>
  <c r="F293" i="1"/>
  <c r="F292" i="1"/>
  <c r="E292" i="1"/>
  <c r="F291" i="1"/>
  <c r="F290" i="1"/>
  <c r="F289" i="1"/>
  <c r="E288" i="1"/>
  <c r="F287" i="1"/>
  <c r="F286" i="1"/>
  <c r="F285" i="1"/>
  <c r="F284" i="1"/>
  <c r="E284" i="1"/>
  <c r="F283" i="1"/>
  <c r="F282" i="1"/>
  <c r="F281" i="1"/>
  <c r="F280" i="1"/>
  <c r="E280" i="1"/>
  <c r="F279" i="1"/>
  <c r="F278" i="1"/>
  <c r="F277" i="1"/>
  <c r="F276" i="1"/>
  <c r="E276" i="1"/>
  <c r="F275" i="1"/>
  <c r="F274" i="1"/>
  <c r="F273" i="1"/>
  <c r="F272" i="1"/>
  <c r="E272" i="1"/>
  <c r="F271" i="1"/>
  <c r="F270" i="1"/>
  <c r="F269" i="1"/>
  <c r="F268" i="1"/>
  <c r="E268" i="1"/>
  <c r="F267" i="1"/>
  <c r="F266" i="1"/>
  <c r="F265" i="1"/>
  <c r="F264" i="1"/>
  <c r="E264" i="1"/>
  <c r="F263" i="1"/>
  <c r="F262" i="1"/>
  <c r="F261" i="1"/>
  <c r="E260" i="1"/>
  <c r="F259" i="1"/>
  <c r="F258" i="1"/>
  <c r="F257" i="1"/>
  <c r="F256" i="1"/>
  <c r="E256" i="1"/>
  <c r="F255" i="1"/>
  <c r="F254" i="1"/>
  <c r="F253" i="1"/>
  <c r="F252" i="1"/>
  <c r="E252" i="1"/>
  <c r="F251" i="1"/>
  <c r="F250" i="1"/>
  <c r="F249" i="1"/>
  <c r="F248" i="1"/>
  <c r="E248" i="1"/>
  <c r="F247" i="1"/>
  <c r="F246" i="1"/>
  <c r="F245" i="1"/>
  <c r="F244" i="1"/>
  <c r="E244" i="1"/>
  <c r="F243" i="1"/>
  <c r="F242" i="1"/>
  <c r="F241" i="1"/>
  <c r="F240" i="1"/>
  <c r="E240" i="1"/>
  <c r="F239" i="1"/>
  <c r="F238" i="1"/>
  <c r="F237" i="1"/>
  <c r="E236" i="1"/>
  <c r="F235" i="1"/>
  <c r="F234" i="1"/>
  <c r="F233" i="1"/>
  <c r="E232" i="1"/>
  <c r="F231" i="1"/>
  <c r="F230" i="1"/>
  <c r="F229" i="1"/>
  <c r="E228" i="1"/>
  <c r="F227" i="1"/>
  <c r="F226" i="1"/>
  <c r="F225" i="1"/>
  <c r="F224" i="1"/>
  <c r="E224" i="1"/>
  <c r="F223" i="1"/>
  <c r="F222" i="1"/>
  <c r="F221" i="1"/>
  <c r="F220" i="1"/>
  <c r="E220" i="1"/>
  <c r="F219" i="1"/>
  <c r="F218" i="1"/>
  <c r="F217" i="1"/>
  <c r="F216" i="1"/>
  <c r="E216" i="1"/>
  <c r="F215" i="1"/>
  <c r="F214" i="1"/>
  <c r="F213" i="1"/>
  <c r="F212" i="1"/>
  <c r="E212" i="1"/>
  <c r="F211" i="1"/>
  <c r="F210" i="1"/>
  <c r="F209" i="1"/>
  <c r="E208" i="1"/>
  <c r="F207" i="1"/>
  <c r="F206" i="1"/>
  <c r="F205" i="1"/>
  <c r="E204" i="1"/>
  <c r="F203" i="1"/>
  <c r="F202" i="1"/>
  <c r="F201" i="1"/>
  <c r="F200" i="1"/>
  <c r="E200" i="1"/>
  <c r="F199" i="1"/>
  <c r="F198" i="1"/>
  <c r="F197" i="1"/>
  <c r="F196" i="1"/>
  <c r="E196" i="1"/>
  <c r="F195" i="1"/>
  <c r="F194" i="1"/>
  <c r="F193" i="1"/>
  <c r="E192" i="1"/>
  <c r="F191" i="1"/>
  <c r="F190" i="1"/>
  <c r="F189" i="1"/>
  <c r="E188" i="1"/>
  <c r="F187" i="1"/>
  <c r="F186" i="1"/>
  <c r="F185" i="1"/>
  <c r="F184" i="1"/>
  <c r="E184" i="1"/>
  <c r="F183" i="1"/>
  <c r="F182" i="1"/>
  <c r="F181" i="1"/>
  <c r="E180" i="1"/>
  <c r="F179" i="1"/>
  <c r="F178" i="1"/>
  <c r="F177" i="1"/>
  <c r="E176" i="1"/>
  <c r="F175" i="1"/>
  <c r="F174" i="1"/>
  <c r="F173" i="1"/>
  <c r="F172" i="1"/>
  <c r="E172" i="1"/>
  <c r="F171" i="1"/>
  <c r="F170" i="1"/>
  <c r="F169" i="1"/>
  <c r="F168" i="1"/>
  <c r="E168" i="1"/>
  <c r="F167" i="1"/>
  <c r="F166" i="1"/>
  <c r="F165" i="1"/>
  <c r="F164" i="1"/>
  <c r="E164" i="1"/>
  <c r="F163" i="1"/>
  <c r="F162" i="1"/>
  <c r="F161" i="1"/>
  <c r="E160" i="1"/>
  <c r="F159" i="1"/>
  <c r="F156" i="1"/>
  <c r="F158" i="1"/>
  <c r="F157" i="1"/>
  <c r="E156" i="1"/>
  <c r="F155" i="1"/>
  <c r="F154" i="1"/>
  <c r="F153" i="1"/>
  <c r="F152" i="1"/>
  <c r="E152" i="1"/>
  <c r="F151" i="1"/>
  <c r="F150" i="1"/>
  <c r="F149" i="1"/>
  <c r="F148" i="1"/>
  <c r="E148" i="1"/>
  <c r="F147" i="1"/>
  <c r="F146" i="1"/>
  <c r="F145" i="1"/>
  <c r="F144" i="1"/>
  <c r="E144" i="1"/>
  <c r="F138" i="1"/>
  <c r="F137" i="1"/>
  <c r="F136" i="1"/>
  <c r="E135" i="1"/>
  <c r="F134" i="1"/>
  <c r="F133" i="1"/>
  <c r="F132" i="1"/>
  <c r="F131" i="1"/>
  <c r="E131" i="1"/>
  <c r="F130" i="1"/>
  <c r="F129" i="1"/>
  <c r="F128" i="1"/>
  <c r="E127" i="1"/>
  <c r="F126" i="1"/>
  <c r="F125" i="1"/>
  <c r="F124" i="1"/>
  <c r="E123" i="1"/>
  <c r="F122" i="1"/>
  <c r="F121" i="1"/>
  <c r="F120" i="1"/>
  <c r="F119" i="1"/>
  <c r="E119" i="1"/>
  <c r="F118" i="1"/>
  <c r="F117" i="1"/>
  <c r="F116" i="1"/>
  <c r="F115" i="1"/>
  <c r="E115" i="1"/>
  <c r="F114" i="1"/>
  <c r="F113" i="1"/>
  <c r="F112" i="1"/>
  <c r="E111" i="1"/>
  <c r="F110" i="1"/>
  <c r="F109" i="1"/>
  <c r="F108" i="1"/>
  <c r="F107" i="1"/>
  <c r="E107" i="1"/>
  <c r="F106" i="1"/>
  <c r="F103" i="1"/>
  <c r="F105" i="1"/>
  <c r="F104" i="1"/>
  <c r="E103" i="1"/>
  <c r="F97" i="1"/>
  <c r="F96" i="1"/>
  <c r="F95" i="1"/>
  <c r="F94" i="1"/>
  <c r="E94" i="1"/>
  <c r="F93" i="1"/>
  <c r="F92" i="1"/>
  <c r="F91" i="1"/>
  <c r="E90" i="1"/>
  <c r="F89" i="1"/>
  <c r="F88" i="1"/>
  <c r="F87" i="1"/>
  <c r="F86" i="1"/>
  <c r="E86" i="1"/>
  <c r="F85" i="1"/>
  <c r="F84" i="1"/>
  <c r="F83" i="1"/>
  <c r="F82" i="1"/>
  <c r="E82" i="1"/>
  <c r="F81" i="1"/>
  <c r="F80" i="1"/>
  <c r="F100" i="1"/>
  <c r="F79" i="1"/>
  <c r="F99" i="1"/>
  <c r="F78" i="1"/>
  <c r="E78" i="1"/>
  <c r="F77" i="1"/>
  <c r="F76" i="1"/>
  <c r="F75" i="1"/>
  <c r="E74" i="1"/>
  <c r="F73" i="1"/>
  <c r="F72" i="1"/>
  <c r="F71" i="1"/>
  <c r="F70" i="1"/>
  <c r="E70" i="1"/>
  <c r="F69" i="1"/>
  <c r="F68" i="1"/>
  <c r="F67" i="1"/>
  <c r="E66" i="1"/>
  <c r="F65" i="1"/>
  <c r="F64" i="1"/>
  <c r="F63" i="1"/>
  <c r="F62" i="1"/>
  <c r="E62" i="1"/>
  <c r="F56" i="1"/>
  <c r="F55" i="1"/>
  <c r="F54" i="1"/>
  <c r="F53" i="1"/>
  <c r="E53" i="1"/>
  <c r="F52" i="1"/>
  <c r="F51" i="1"/>
  <c r="F50" i="1"/>
  <c r="F49" i="1"/>
  <c r="E49" i="1"/>
  <c r="F48" i="1"/>
  <c r="F47" i="1"/>
  <c r="F46" i="1"/>
  <c r="E45" i="1"/>
  <c r="F44" i="1"/>
  <c r="F43" i="1"/>
  <c r="F42" i="1"/>
  <c r="F41" i="1"/>
  <c r="E41" i="1"/>
  <c r="F40" i="1"/>
  <c r="F39" i="1"/>
  <c r="F38" i="1"/>
  <c r="F37" i="1"/>
  <c r="E37" i="1"/>
  <c r="F36" i="1"/>
  <c r="F35" i="1"/>
  <c r="F34" i="1"/>
  <c r="F33" i="1"/>
  <c r="E33" i="1"/>
  <c r="F32" i="1"/>
  <c r="F31" i="1"/>
  <c r="F30" i="1"/>
  <c r="E29" i="1"/>
  <c r="F28" i="1"/>
  <c r="F27" i="1"/>
  <c r="F26" i="1"/>
  <c r="F25" i="1"/>
  <c r="E25" i="1"/>
  <c r="F24" i="1"/>
  <c r="F23" i="1"/>
  <c r="F22" i="1"/>
  <c r="E21" i="1"/>
  <c r="F20" i="1"/>
  <c r="F19" i="1"/>
  <c r="F18" i="1"/>
  <c r="F17" i="1"/>
  <c r="E17" i="1"/>
  <c r="F16" i="1"/>
  <c r="F15" i="1"/>
  <c r="F14" i="1"/>
  <c r="F13" i="1"/>
  <c r="E13" i="1"/>
  <c r="F12" i="1"/>
  <c r="F11" i="1"/>
  <c r="F10" i="1"/>
  <c r="E9" i="1"/>
  <c r="I8" i="1"/>
  <c r="I7" i="1"/>
  <c r="I6" i="1"/>
  <c r="H5" i="1"/>
  <c r="F7" i="1"/>
  <c r="F8" i="1"/>
  <c r="F6" i="1"/>
  <c r="E5" i="1"/>
  <c r="G451" i="1"/>
  <c r="D451" i="1"/>
  <c r="A439" i="1"/>
  <c r="A440" i="1"/>
  <c r="A441" i="1"/>
  <c r="G438" i="1"/>
  <c r="G434" i="1"/>
  <c r="A435" i="1"/>
  <c r="A436" i="1"/>
  <c r="A437" i="1"/>
  <c r="A431" i="1"/>
  <c r="A432" i="1"/>
  <c r="A433" i="1"/>
  <c r="D430" i="1"/>
  <c r="A427" i="1"/>
  <c r="A428" i="1"/>
  <c r="A429" i="1"/>
  <c r="G422" i="1"/>
  <c r="A423" i="1"/>
  <c r="A424" i="1"/>
  <c r="A425" i="1"/>
  <c r="G418" i="1"/>
  <c r="A419" i="1"/>
  <c r="A420" i="1"/>
  <c r="A421" i="1"/>
  <c r="D418" i="1"/>
  <c r="A415" i="1"/>
  <c r="A416" i="1"/>
  <c r="A417" i="1"/>
  <c r="G410" i="1"/>
  <c r="A411" i="1"/>
  <c r="A412" i="1"/>
  <c r="A413" i="1"/>
  <c r="D410" i="1"/>
  <c r="G406" i="1"/>
  <c r="A407" i="1"/>
  <c r="A408" i="1"/>
  <c r="A409" i="1"/>
  <c r="D406" i="1"/>
  <c r="G402" i="1"/>
  <c r="A403" i="1"/>
  <c r="A404" i="1"/>
  <c r="A405" i="1"/>
  <c r="G398" i="1"/>
  <c r="A399" i="1"/>
  <c r="A400" i="1"/>
  <c r="A401" i="1"/>
  <c r="A395" i="1"/>
  <c r="A396" i="1"/>
  <c r="A397" i="1"/>
  <c r="A391" i="1"/>
  <c r="A392" i="1"/>
  <c r="A393" i="1"/>
  <c r="A387" i="1"/>
  <c r="A388" i="1"/>
  <c r="A389" i="1"/>
  <c r="A383" i="1"/>
  <c r="A384" i="1"/>
  <c r="A385" i="1"/>
  <c r="G382" i="1"/>
  <c r="D380" i="1"/>
  <c r="D379" i="1"/>
  <c r="G380" i="1"/>
  <c r="A374" i="1"/>
  <c r="A375" i="1"/>
  <c r="A376" i="1"/>
  <c r="G378" i="1"/>
  <c r="A370" i="1"/>
  <c r="A371" i="1"/>
  <c r="A372" i="1"/>
  <c r="G369" i="1"/>
  <c r="G360" i="1"/>
  <c r="A361" i="1"/>
  <c r="A362" i="1"/>
  <c r="A363" i="1"/>
  <c r="D360" i="1"/>
  <c r="A357" i="1"/>
  <c r="A358" i="1"/>
  <c r="A359" i="1"/>
  <c r="G356" i="1"/>
  <c r="D356" i="1"/>
  <c r="D352" i="1"/>
  <c r="A353" i="1"/>
  <c r="A354" i="1"/>
  <c r="A355" i="1"/>
  <c r="G352" i="1"/>
  <c r="A349" i="1"/>
  <c r="A350" i="1"/>
  <c r="A351" i="1"/>
  <c r="G348" i="1"/>
  <c r="A345" i="1"/>
  <c r="A346" i="1"/>
  <c r="A347" i="1"/>
  <c r="G344" i="1"/>
  <c r="A341" i="1"/>
  <c r="A342" i="1"/>
  <c r="A343" i="1"/>
  <c r="G340" i="1"/>
  <c r="A337" i="1"/>
  <c r="A338" i="1"/>
  <c r="A339" i="1"/>
  <c r="G336" i="1"/>
  <c r="G332" i="1"/>
  <c r="A333" i="1"/>
  <c r="A334" i="1"/>
  <c r="A335" i="1"/>
  <c r="A329" i="1"/>
  <c r="A330" i="1"/>
  <c r="A331" i="1"/>
  <c r="G324" i="1"/>
  <c r="A325" i="1"/>
  <c r="A326" i="1"/>
  <c r="A327" i="1"/>
  <c r="D324" i="1"/>
  <c r="G320" i="1"/>
  <c r="A321" i="1"/>
  <c r="A322" i="1"/>
  <c r="A323" i="1"/>
  <c r="A317" i="1"/>
  <c r="A318" i="1"/>
  <c r="A319" i="1"/>
  <c r="G316" i="1"/>
  <c r="A313" i="1"/>
  <c r="A314" i="1"/>
  <c r="A315" i="1"/>
  <c r="D312" i="1"/>
  <c r="G308" i="1"/>
  <c r="A309" i="1"/>
  <c r="A310" i="1"/>
  <c r="A311" i="1"/>
  <c r="D308" i="1"/>
  <c r="A305" i="1"/>
  <c r="A306" i="1"/>
  <c r="A307" i="1"/>
  <c r="D304" i="1"/>
  <c r="G300" i="1"/>
  <c r="A301" i="1"/>
  <c r="A302" i="1"/>
  <c r="A303" i="1"/>
  <c r="D300" i="1"/>
  <c r="A297" i="1"/>
  <c r="A298" i="1"/>
  <c r="A299" i="1"/>
  <c r="D296" i="1"/>
  <c r="G292" i="1"/>
  <c r="A293" i="1"/>
  <c r="A294" i="1"/>
  <c r="A295" i="1"/>
  <c r="A289" i="1"/>
  <c r="A290" i="1"/>
  <c r="A291" i="1"/>
  <c r="G288" i="1"/>
  <c r="A285" i="1"/>
  <c r="A286" i="1"/>
  <c r="A287" i="1"/>
  <c r="G284" i="1"/>
  <c r="G280" i="1"/>
  <c r="A281" i="1"/>
  <c r="A282" i="1"/>
  <c r="A283" i="1"/>
  <c r="G276" i="1"/>
  <c r="D276" i="1"/>
  <c r="A277" i="1"/>
  <c r="A278" i="1"/>
  <c r="A279" i="1"/>
  <c r="A273" i="1"/>
  <c r="A274" i="1"/>
  <c r="A275" i="1"/>
  <c r="A269" i="1"/>
  <c r="A270" i="1"/>
  <c r="A271" i="1"/>
  <c r="A265" i="1"/>
  <c r="A266" i="1"/>
  <c r="A267" i="1"/>
  <c r="D264" i="1"/>
  <c r="A261" i="1"/>
  <c r="A262" i="1"/>
  <c r="A263" i="1"/>
  <c r="G256" i="1"/>
  <c r="A257" i="1"/>
  <c r="A258" i="1"/>
  <c r="A259" i="1"/>
  <c r="G252" i="1"/>
  <c r="A253" i="1"/>
  <c r="A254" i="1"/>
  <c r="A255" i="1"/>
  <c r="A249" i="1"/>
  <c r="A250" i="1"/>
  <c r="A251" i="1"/>
  <c r="A245" i="1"/>
  <c r="A246" i="1"/>
  <c r="A247" i="1"/>
  <c r="G244" i="1"/>
  <c r="G240" i="1"/>
  <c r="A241" i="1"/>
  <c r="A242" i="1"/>
  <c r="A243" i="1"/>
  <c r="D240" i="1"/>
  <c r="A237" i="1"/>
  <c r="A238" i="1"/>
  <c r="A239" i="1"/>
  <c r="G232" i="1"/>
  <c r="A233" i="1"/>
  <c r="A234" i="1"/>
  <c r="A235" i="1"/>
  <c r="D232" i="1"/>
  <c r="A229" i="1"/>
  <c r="A230" i="1"/>
  <c r="A231" i="1"/>
  <c r="G228" i="1"/>
  <c r="A225" i="1"/>
  <c r="A226" i="1"/>
  <c r="A227" i="1"/>
  <c r="A221" i="1"/>
  <c r="A222" i="1"/>
  <c r="A223" i="1"/>
  <c r="G216" i="1"/>
  <c r="A217" i="1"/>
  <c r="A218" i="1"/>
  <c r="A219" i="1"/>
  <c r="D216" i="1"/>
  <c r="A213" i="1"/>
  <c r="A214" i="1"/>
  <c r="A215" i="1"/>
  <c r="A209" i="1"/>
  <c r="A210" i="1"/>
  <c r="A211" i="1"/>
  <c r="G204" i="1"/>
  <c r="A205" i="1"/>
  <c r="A206" i="1"/>
  <c r="A207" i="1"/>
  <c r="D204" i="1"/>
  <c r="A201" i="1"/>
  <c r="A202" i="1"/>
  <c r="A203" i="1"/>
  <c r="G200" i="1"/>
  <c r="A197" i="1"/>
  <c r="A198" i="1"/>
  <c r="A199" i="1"/>
  <c r="G192" i="1"/>
  <c r="A193" i="1"/>
  <c r="A194" i="1"/>
  <c r="A195" i="1"/>
  <c r="D192" i="1"/>
  <c r="D188" i="1"/>
  <c r="A189" i="1"/>
  <c r="A190" i="1"/>
  <c r="A191" i="1"/>
  <c r="A185" i="1"/>
  <c r="A186" i="1"/>
  <c r="A187" i="1"/>
  <c r="D184" i="1"/>
  <c r="A181" i="1"/>
  <c r="A182" i="1"/>
  <c r="A183" i="1"/>
  <c r="D180" i="1"/>
  <c r="A177" i="1"/>
  <c r="A178" i="1"/>
  <c r="A179" i="1"/>
  <c r="G176" i="1"/>
  <c r="D172" i="1"/>
  <c r="A173" i="1"/>
  <c r="A174" i="1"/>
  <c r="A175" i="1"/>
  <c r="A169" i="1"/>
  <c r="A170" i="1"/>
  <c r="A171" i="1"/>
  <c r="D168" i="1"/>
  <c r="G164" i="1"/>
  <c r="D164" i="1"/>
  <c r="A165" i="1"/>
  <c r="A166" i="1"/>
  <c r="A167" i="1"/>
  <c r="A161" i="1"/>
  <c r="A162" i="1"/>
  <c r="A163" i="1"/>
  <c r="G160" i="1"/>
  <c r="G156" i="1"/>
  <c r="A157" i="1"/>
  <c r="A158" i="1"/>
  <c r="A159" i="1"/>
  <c r="G152" i="1"/>
  <c r="A153" i="1"/>
  <c r="A154" i="1"/>
  <c r="A155" i="1"/>
  <c r="A149" i="1"/>
  <c r="A150" i="1"/>
  <c r="A151" i="1"/>
  <c r="G148" i="1"/>
  <c r="D148" i="1"/>
  <c r="A145" i="1"/>
  <c r="A146" i="1"/>
  <c r="A147" i="1"/>
  <c r="G144" i="1"/>
  <c r="D144" i="1"/>
  <c r="G135" i="1"/>
  <c r="A136" i="1"/>
  <c r="A137" i="1"/>
  <c r="A138" i="1"/>
  <c r="D135" i="1"/>
  <c r="A132" i="1"/>
  <c r="A133" i="1"/>
  <c r="A134" i="1"/>
  <c r="A128" i="1"/>
  <c r="A129" i="1"/>
  <c r="A130" i="1"/>
  <c r="G127" i="1"/>
  <c r="G123" i="1"/>
  <c r="A124" i="1"/>
  <c r="A125" i="1"/>
  <c r="A126" i="1"/>
  <c r="A120" i="1"/>
  <c r="A121" i="1"/>
  <c r="A122" i="1"/>
  <c r="D119" i="1"/>
  <c r="A116" i="1"/>
  <c r="A117" i="1"/>
  <c r="A118" i="1"/>
  <c r="G115" i="1"/>
  <c r="G111" i="1"/>
  <c r="D111" i="1"/>
  <c r="A112" i="1"/>
  <c r="A113" i="1"/>
  <c r="A114" i="1"/>
  <c r="G142" i="1"/>
  <c r="A108" i="1"/>
  <c r="A109" i="1"/>
  <c r="A110" i="1"/>
  <c r="G140" i="1"/>
  <c r="A104" i="1"/>
  <c r="A105" i="1"/>
  <c r="A106" i="1"/>
  <c r="G103" i="1"/>
  <c r="D103" i="1"/>
  <c r="G94" i="1"/>
  <c r="A95" i="1"/>
  <c r="A96" i="1"/>
  <c r="A97" i="1"/>
  <c r="D94" i="1"/>
  <c r="G90" i="1"/>
  <c r="A91" i="1"/>
  <c r="A92" i="1"/>
  <c r="A93" i="1"/>
  <c r="A87" i="1"/>
  <c r="A88" i="1"/>
  <c r="A89" i="1"/>
  <c r="D86" i="1"/>
  <c r="A83" i="1"/>
  <c r="A84" i="1"/>
  <c r="A85" i="1"/>
  <c r="G82" i="1"/>
  <c r="D82" i="1"/>
  <c r="A79" i="1"/>
  <c r="A80" i="1"/>
  <c r="A81" i="1"/>
  <c r="D78" i="1"/>
  <c r="G74" i="1"/>
  <c r="A75" i="1"/>
  <c r="A76" i="1"/>
  <c r="A77" i="1"/>
  <c r="D74" i="1"/>
  <c r="D70" i="1"/>
  <c r="G70" i="1"/>
  <c r="A71" i="1"/>
  <c r="A72" i="1"/>
  <c r="A73" i="1"/>
  <c r="A67" i="1"/>
  <c r="A68" i="1"/>
  <c r="A69" i="1"/>
  <c r="G62" i="1"/>
  <c r="A63" i="1"/>
  <c r="A64" i="1"/>
  <c r="A65" i="1"/>
  <c r="D62" i="1"/>
  <c r="G53" i="1"/>
  <c r="A54" i="1"/>
  <c r="A55" i="1"/>
  <c r="A56" i="1"/>
  <c r="G49" i="1"/>
  <c r="A50" i="1"/>
  <c r="A51" i="1"/>
  <c r="A52" i="1"/>
  <c r="A46" i="1"/>
  <c r="A47" i="1"/>
  <c r="A48" i="1"/>
  <c r="D45" i="1"/>
  <c r="A42" i="1"/>
  <c r="A43" i="1"/>
  <c r="A44" i="1"/>
  <c r="G37" i="1"/>
  <c r="A38" i="1"/>
  <c r="A39" i="1"/>
  <c r="A40" i="1"/>
  <c r="G33" i="1"/>
  <c r="D33" i="1"/>
  <c r="A34" i="1"/>
  <c r="A35" i="1"/>
  <c r="A36" i="1"/>
  <c r="A30" i="1"/>
  <c r="A31" i="1"/>
  <c r="A32" i="1"/>
  <c r="G29" i="1"/>
  <c r="A26" i="1"/>
  <c r="A27" i="1"/>
  <c r="A28" i="1"/>
  <c r="D25" i="1"/>
  <c r="G21" i="1"/>
  <c r="A22" i="1"/>
  <c r="A23" i="1"/>
  <c r="A24" i="1"/>
  <c r="G17" i="1"/>
  <c r="A18" i="1"/>
  <c r="A19" i="1"/>
  <c r="A20" i="1"/>
  <c r="D17" i="1"/>
  <c r="A14" i="1"/>
  <c r="A15" i="1"/>
  <c r="A16" i="1"/>
  <c r="G9" i="1"/>
  <c r="A10" i="1"/>
  <c r="A11" i="1"/>
  <c r="A12" i="1"/>
  <c r="D9" i="1"/>
  <c r="A6" i="1"/>
  <c r="A7" i="1"/>
  <c r="A8" i="1"/>
  <c r="F21" i="1"/>
  <c r="F66" i="1"/>
  <c r="F438" i="1"/>
  <c r="I430" i="1"/>
  <c r="I123" i="1"/>
  <c r="I373" i="1"/>
  <c r="F443" i="1"/>
  <c r="F304" i="1"/>
  <c r="F101" i="1"/>
  <c r="H139" i="1"/>
  <c r="I100" i="1"/>
  <c r="I456" i="1"/>
  <c r="I101" i="1"/>
  <c r="I131" i="1"/>
  <c r="I107" i="1"/>
  <c r="H98" i="1"/>
  <c r="I115" i="1"/>
  <c r="I296" i="1"/>
  <c r="I444" i="1"/>
  <c r="F60" i="1"/>
  <c r="I445" i="1"/>
  <c r="I348" i="1"/>
  <c r="H442" i="1"/>
  <c r="F142" i="1"/>
  <c r="I41" i="1"/>
  <c r="I139" i="1"/>
  <c r="I60" i="1"/>
  <c r="E98" i="1"/>
  <c r="I58" i="1"/>
  <c r="F386" i="1"/>
  <c r="F232" i="1"/>
  <c r="I33" i="1"/>
  <c r="I224" i="1"/>
  <c r="I377" i="1"/>
  <c r="F208" i="1"/>
  <c r="I148" i="1"/>
  <c r="I200" i="1"/>
  <c r="I276" i="1"/>
  <c r="I443" i="1"/>
  <c r="I176" i="1"/>
  <c r="F58" i="1"/>
  <c r="I365" i="1"/>
  <c r="I367" i="1"/>
  <c r="I141" i="1"/>
  <c r="I142" i="1"/>
  <c r="F445" i="1"/>
  <c r="F74" i="1"/>
  <c r="F455" i="1"/>
  <c r="F140" i="1"/>
  <c r="F127" i="1"/>
  <c r="F260" i="1"/>
  <c r="F111" i="1"/>
  <c r="F365" i="1"/>
  <c r="F160" i="1"/>
  <c r="E377" i="1"/>
  <c r="I252" i="1"/>
  <c r="F188" i="1"/>
  <c r="F236" i="1"/>
  <c r="I160" i="1"/>
  <c r="I304" i="1"/>
  <c r="F29" i="1"/>
  <c r="F135" i="1"/>
  <c r="F360" i="1"/>
  <c r="I449" i="1"/>
  <c r="E139" i="1"/>
  <c r="I264" i="1"/>
  <c r="I192" i="1"/>
  <c r="I308" i="1"/>
  <c r="I164" i="1"/>
  <c r="F447" i="1"/>
  <c r="I25" i="1"/>
  <c r="F316" i="1"/>
  <c r="F123" i="1"/>
  <c r="F382" i="1"/>
  <c r="I66" i="1"/>
  <c r="I98" i="1"/>
  <c r="I272" i="1"/>
  <c r="I344" i="1"/>
  <c r="F456" i="1"/>
  <c r="F394" i="1"/>
  <c r="I188" i="1"/>
  <c r="E442" i="1"/>
  <c r="I451" i="1"/>
  <c r="F228" i="1"/>
  <c r="F288" i="1"/>
  <c r="F348" i="1"/>
  <c r="F192" i="1"/>
  <c r="I99" i="1"/>
  <c r="F45" i="1"/>
  <c r="F180" i="1"/>
  <c r="F204" i="1"/>
  <c r="I94" i="1"/>
  <c r="F5" i="1"/>
  <c r="I236" i="1"/>
  <c r="I447" i="1"/>
  <c r="F9" i="1"/>
  <c r="F90" i="1"/>
  <c r="F426" i="1"/>
  <c r="I9" i="1"/>
  <c r="I316" i="1"/>
  <c r="F176" i="1"/>
  <c r="I70" i="1"/>
  <c r="I152" i="1"/>
  <c r="I414" i="1"/>
  <c r="I442" i="1"/>
  <c r="F141" i="1"/>
  <c r="I204" i="1"/>
  <c r="I228" i="1"/>
  <c r="H57" i="1"/>
  <c r="I59" i="1"/>
  <c r="F59" i="1"/>
  <c r="F444" i="1"/>
  <c r="F449" i="1"/>
  <c r="F366" i="1"/>
  <c r="I196" i="1"/>
  <c r="H446" i="1"/>
  <c r="I458" i="1"/>
  <c r="E364" i="1"/>
  <c r="E446" i="1"/>
  <c r="F458" i="1"/>
  <c r="F367" i="1"/>
  <c r="H364" i="1"/>
  <c r="I457" i="1"/>
  <c r="I366" i="1"/>
  <c r="H455" i="1"/>
  <c r="I448" i="1"/>
  <c r="F448" i="1"/>
  <c r="F457" i="1"/>
  <c r="E455" i="1"/>
  <c r="I5" i="1"/>
  <c r="E57" i="1"/>
  <c r="G296" i="1"/>
  <c r="D244" i="1"/>
  <c r="G78" i="1"/>
  <c r="D53" i="1"/>
  <c r="D200" i="1"/>
  <c r="G131" i="1"/>
  <c r="D447" i="1"/>
  <c r="D456" i="1"/>
  <c r="D58" i="1"/>
  <c r="D5" i="1"/>
  <c r="G184" i="1"/>
  <c r="D284" i="1"/>
  <c r="D156" i="1"/>
  <c r="G456" i="1"/>
  <c r="G5" i="1"/>
  <c r="G58" i="1"/>
  <c r="G447" i="1"/>
  <c r="D66" i="1"/>
  <c r="D100" i="1"/>
  <c r="G220" i="1"/>
  <c r="G101" i="1"/>
  <c r="D101" i="1"/>
  <c r="D60" i="1"/>
  <c r="D256" i="1"/>
  <c r="D268" i="1"/>
  <c r="D41" i="1"/>
  <c r="D115" i="1"/>
  <c r="D140" i="1"/>
  <c r="G13" i="1"/>
  <c r="D131" i="1"/>
  <c r="D142" i="1"/>
  <c r="D90" i="1"/>
  <c r="D152" i="1"/>
  <c r="G172" i="1"/>
  <c r="D37" i="1"/>
  <c r="G100" i="1"/>
  <c r="D332" i="1"/>
  <c r="G41" i="1"/>
  <c r="G119" i="1"/>
  <c r="D252" i="1"/>
  <c r="D373" i="1"/>
  <c r="D378" i="1"/>
  <c r="D228" i="1"/>
  <c r="G107" i="1"/>
  <c r="D336" i="1"/>
  <c r="G268" i="1"/>
  <c r="G260" i="1"/>
  <c r="D160" i="1"/>
  <c r="D123" i="1"/>
  <c r="G196" i="1"/>
  <c r="G236" i="1"/>
  <c r="G248" i="1"/>
  <c r="G141" i="1"/>
  <c r="D390" i="1"/>
  <c r="D292" i="1"/>
  <c r="G367" i="1"/>
  <c r="D59" i="1"/>
  <c r="G365" i="1"/>
  <c r="G328" i="1"/>
  <c r="D382" i="1"/>
  <c r="D443" i="1"/>
  <c r="G208" i="1"/>
  <c r="D49" i="1"/>
  <c r="D13" i="1"/>
  <c r="D316" i="1"/>
  <c r="G445" i="1"/>
  <c r="D288" i="1"/>
  <c r="D208" i="1"/>
  <c r="G212" i="1"/>
  <c r="D458" i="1"/>
  <c r="D449" i="1"/>
  <c r="G86" i="1"/>
  <c r="D248" i="1"/>
  <c r="D29" i="1"/>
  <c r="G45" i="1"/>
  <c r="D127" i="1"/>
  <c r="D328" i="1"/>
  <c r="D320" i="1"/>
  <c r="G373" i="1"/>
  <c r="G377" i="1"/>
  <c r="D366" i="1"/>
  <c r="D99" i="1"/>
  <c r="D107" i="1"/>
  <c r="D176" i="1"/>
  <c r="D402" i="1"/>
  <c r="D348" i="1"/>
  <c r="D367" i="1"/>
  <c r="G168" i="1"/>
  <c r="G180" i="1"/>
  <c r="G99" i="1"/>
  <c r="G66" i="1"/>
  <c r="D365" i="1"/>
  <c r="D438" i="1"/>
  <c r="D260" i="1"/>
  <c r="G444" i="1"/>
  <c r="G264" i="1"/>
  <c r="D196" i="1"/>
  <c r="D21" i="1"/>
  <c r="D280" i="1"/>
  <c r="D224" i="1"/>
  <c r="D272" i="1"/>
  <c r="D340" i="1"/>
  <c r="G448" i="1"/>
  <c r="G59" i="1"/>
  <c r="G457" i="1"/>
  <c r="D236" i="1"/>
  <c r="D141" i="1"/>
  <c r="G443" i="1"/>
  <c r="G414" i="1"/>
  <c r="D426" i="1"/>
  <c r="G25" i="1"/>
  <c r="G366" i="1"/>
  <c r="D344" i="1"/>
  <c r="D445" i="1"/>
  <c r="G390" i="1"/>
  <c r="D422" i="1"/>
  <c r="G188" i="1"/>
  <c r="G430" i="1"/>
  <c r="G458" i="1"/>
  <c r="G449" i="1"/>
  <c r="G60" i="1"/>
  <c r="G304" i="1"/>
  <c r="D386" i="1"/>
  <c r="D434" i="1"/>
  <c r="D448" i="1"/>
  <c r="D457" i="1"/>
  <c r="D212" i="1"/>
  <c r="G224" i="1"/>
  <c r="G312" i="1"/>
  <c r="G394" i="1"/>
  <c r="G426" i="1"/>
  <c r="D220" i="1"/>
  <c r="D414" i="1"/>
  <c r="D398" i="1"/>
  <c r="G272" i="1"/>
  <c r="D369" i="1"/>
  <c r="G379" i="1"/>
  <c r="G386" i="1"/>
  <c r="D394" i="1"/>
  <c r="D444" i="1"/>
  <c r="F98" i="1"/>
  <c r="I364" i="1"/>
  <c r="F446" i="1"/>
  <c r="F364" i="1"/>
  <c r="F139" i="1"/>
  <c r="F442" i="1"/>
  <c r="F57" i="1"/>
  <c r="I57" i="1"/>
  <c r="I455" i="1"/>
  <c r="I446" i="1"/>
  <c r="G139" i="1"/>
  <c r="G364" i="1"/>
  <c r="D364" i="1"/>
  <c r="G442" i="1"/>
  <c r="D446" i="1"/>
  <c r="D455" i="1"/>
  <c r="D57" i="1"/>
  <c r="G455" i="1"/>
  <c r="G446" i="1"/>
  <c r="G57" i="1"/>
  <c r="D377" i="1"/>
  <c r="D98" i="1"/>
  <c r="D442" i="1"/>
  <c r="D139" i="1"/>
  <c r="G98" i="1"/>
</calcChain>
</file>

<file path=xl/sharedStrings.xml><?xml version="1.0" encoding="utf-8"?>
<sst xmlns="http://schemas.openxmlformats.org/spreadsheetml/2006/main" count="568" uniqueCount="133">
  <si>
    <t>Agency
($ thousands)</t>
  </si>
  <si>
    <t>LEGISLATIVE AGENCIES</t>
  </si>
  <si>
    <t>X</t>
  </si>
  <si>
    <t>a</t>
  </si>
  <si>
    <t>General Funds</t>
  </si>
  <si>
    <t>Other State Funds</t>
  </si>
  <si>
    <t>Federal Funds</t>
  </si>
  <si>
    <t>Total Legislative Agencies</t>
  </si>
  <si>
    <t>JUDICIAL AGENCIES</t>
  </si>
  <si>
    <t>Total Judicial Agencies</t>
  </si>
  <si>
    <t>ELECTED OFFICIALS AND ELECTIONS</t>
  </si>
  <si>
    <t>Total Elected Officials And Elections</t>
  </si>
  <si>
    <t>GOVERNOR'S AGENCIES</t>
  </si>
  <si>
    <t>Total Governor's Agencies</t>
  </si>
  <si>
    <t>ELEMENTARY AND SECONDARY EDUCATION</t>
  </si>
  <si>
    <t>Total Elementary And Secondary Education</t>
  </si>
  <si>
    <t>HIGHER EDUCATION</t>
  </si>
  <si>
    <t>Total Higher Education</t>
  </si>
  <si>
    <t>Total Before Goveror's Initiatives and Revoving Funds</t>
  </si>
  <si>
    <t>GOVERNOR'S INITIATIVES AND REVOLVING FUNDS</t>
  </si>
  <si>
    <t>REV</t>
  </si>
  <si>
    <t>GRAND TOTAL</t>
  </si>
  <si>
    <t>General Assembly</t>
  </si>
  <si>
    <t>Legislative Inspector General</t>
  </si>
  <si>
    <t>Auditor General</t>
  </si>
  <si>
    <t>Forecasting and Accountability</t>
  </si>
  <si>
    <t>Legislative Information Sys</t>
  </si>
  <si>
    <t>Legislative Audit Commission</t>
  </si>
  <si>
    <t>Legislative Printing Unit</t>
  </si>
  <si>
    <t>Legislative Reference Bureau</t>
  </si>
  <si>
    <t>Legislative Ethics Commission</t>
  </si>
  <si>
    <t>GA Retirement System</t>
  </si>
  <si>
    <t>Architect Of The Capitol</t>
  </si>
  <si>
    <t>JCAR</t>
  </si>
  <si>
    <t>Executive Ethics Comm.</t>
  </si>
  <si>
    <t>Supreme Court</t>
  </si>
  <si>
    <t>Pretrial Services</t>
  </si>
  <si>
    <t>Supreme Court Historic Prsv</t>
  </si>
  <si>
    <t>Judges Retirement System</t>
  </si>
  <si>
    <t>Illinois Courts Commission</t>
  </si>
  <si>
    <t>Judicial Inquiry Board</t>
  </si>
  <si>
    <t>Appellate Defender</t>
  </si>
  <si>
    <t>Attorneys Appellate Prosecutor</t>
  </si>
  <si>
    <t>Court Of Claims</t>
  </si>
  <si>
    <t>Governor</t>
  </si>
  <si>
    <t>Lieutenant Governor</t>
  </si>
  <si>
    <t>Attorney General</t>
  </si>
  <si>
    <t>Secretary Of State</t>
  </si>
  <si>
    <t>State Comptroller</t>
  </si>
  <si>
    <t>State Treasurer</t>
  </si>
  <si>
    <t>Illinois Power</t>
  </si>
  <si>
    <t>Inspector General</t>
  </si>
  <si>
    <t>State Board Of Elections</t>
  </si>
  <si>
    <t>Aging</t>
  </si>
  <si>
    <t>Agriculture</t>
  </si>
  <si>
    <t>Central Management Serv</t>
  </si>
  <si>
    <t>Children And Family Serv</t>
  </si>
  <si>
    <t>Commerce And Econ Opp</t>
  </si>
  <si>
    <t>Natural Resources</t>
  </si>
  <si>
    <t>Juvenile Justice</t>
  </si>
  <si>
    <t>Corrections</t>
  </si>
  <si>
    <t>Employment Security</t>
  </si>
  <si>
    <t>Financial And Prof Reg</t>
  </si>
  <si>
    <t>Human Rights</t>
  </si>
  <si>
    <t>Human Services</t>
  </si>
  <si>
    <t>Insurance</t>
  </si>
  <si>
    <t>Innovation And Technology</t>
  </si>
  <si>
    <t>Labor</t>
  </si>
  <si>
    <t>Lottery</t>
  </si>
  <si>
    <t>Military Affairs</t>
  </si>
  <si>
    <t>Healthcare And Family Serv</t>
  </si>
  <si>
    <t>Early Childhood</t>
  </si>
  <si>
    <t>Public Health</t>
  </si>
  <si>
    <t>Revenue</t>
  </si>
  <si>
    <t>State Police</t>
  </si>
  <si>
    <t>Transportation</t>
  </si>
  <si>
    <t>Veterans' Affairs</t>
  </si>
  <si>
    <t>Illinois Arts Council</t>
  </si>
  <si>
    <t>Lincoln Library And Museum</t>
  </si>
  <si>
    <t>Management And Budget</t>
  </si>
  <si>
    <t>Capital Development Board</t>
  </si>
  <si>
    <t>Civil Service Commission</t>
  </si>
  <si>
    <t>Coroner Training Board</t>
  </si>
  <si>
    <t>Commerce Commission</t>
  </si>
  <si>
    <t>Deaf And Hard Of Hearing</t>
  </si>
  <si>
    <t>Environmental Protection</t>
  </si>
  <si>
    <t>Equity and Inclusion</t>
  </si>
  <si>
    <t>Guardianship And Advocacy</t>
  </si>
  <si>
    <t>Human Rights Commission</t>
  </si>
  <si>
    <t>Criminal Justice Info Auth</t>
  </si>
  <si>
    <t>EdLabor Relations Board</t>
  </si>
  <si>
    <t>Sports Facilities Auth</t>
  </si>
  <si>
    <t>Council On Dev Disabilities</t>
  </si>
  <si>
    <t>Procurement Policy Board</t>
  </si>
  <si>
    <t>Workers' Compensation</t>
  </si>
  <si>
    <t>Independent Tax Tribunal</t>
  </si>
  <si>
    <t>Gaming Board</t>
  </si>
  <si>
    <t>Liquor Control</t>
  </si>
  <si>
    <t>Law Enforcement Training</t>
  </si>
  <si>
    <t>Met Pier And Exposition</t>
  </si>
  <si>
    <t>Prisoner Review Board</t>
  </si>
  <si>
    <t>Racing Board</t>
  </si>
  <si>
    <t>Property Tax Appeal Board</t>
  </si>
  <si>
    <t>Emergency Mgt Agency</t>
  </si>
  <si>
    <t>State Employees' Retirement</t>
  </si>
  <si>
    <t>Labor Relations Board</t>
  </si>
  <si>
    <t>State Police Merit Board</t>
  </si>
  <si>
    <t>State Fire Marshal</t>
  </si>
  <si>
    <t>State Board Of Education</t>
  </si>
  <si>
    <t>Teachers' Retirement</t>
  </si>
  <si>
    <t>Board Of Higher Education</t>
  </si>
  <si>
    <t>University, Chicago State</t>
  </si>
  <si>
    <t>University, Eastern Il</t>
  </si>
  <si>
    <t>University, Governors State</t>
  </si>
  <si>
    <t>University, Northeastern Il</t>
  </si>
  <si>
    <t>University, Western Il</t>
  </si>
  <si>
    <t>University, Illinois State</t>
  </si>
  <si>
    <t>University, Northern Il</t>
  </si>
  <si>
    <t>University, Southern Il</t>
  </si>
  <si>
    <t>University Of Illinois</t>
  </si>
  <si>
    <t>Community College Board</t>
  </si>
  <si>
    <t>Student Assistance Comm</t>
  </si>
  <si>
    <t>Math And Science Academy</t>
  </si>
  <si>
    <t>State Universities Retirement</t>
  </si>
  <si>
    <t>Universities Civil Service Sys</t>
  </si>
  <si>
    <t>Revolving Funds</t>
  </si>
  <si>
    <t>FY25 Final Operations Budget</t>
  </si>
  <si>
    <t>FY25 Final Capital Budget</t>
  </si>
  <si>
    <t>FY25 Total Budget</t>
  </si>
  <si>
    <t>FY26 Enacted Operations Budget</t>
  </si>
  <si>
    <t>FY26 Enacted Capital Budget</t>
  </si>
  <si>
    <t>FY26 Enacted Total Budget</t>
  </si>
  <si>
    <t>as of 7/23/25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</si>
</sst>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00_);_(* \(#,##0.00000\);_(* &quot;-&quot;??_);_(@_)"/>
    <numFmt numFmtId="165" formatCode="_(* #,##0.000_);_(* \(#,##0.000\);_(* &quot;-&quot;??_);_(@_)"/>
    <numFmt numFmtId="166" formatCode="_(* #,##0.0_);_(* \(#,##0.0\);_(* &quot;-&quot;??_);_(@_)"/>
    <numFmt numFmtId="167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165" fontId="2" fillId="0" borderId="0" xfId="1" applyNumberFormat="1" applyFont="1" applyBorder="1"/>
    <xf numFmtId="0" fontId="2" fillId="0" borderId="0" xfId="0" applyFont="1"/>
    <xf numFmtId="0" fontId="3" fillId="0" borderId="0" xfId="0" applyFont="1"/>
    <xf numFmtId="166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165" fontId="4" fillId="3" borderId="0" xfId="1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5" fillId="0" borderId="2" xfId="1" applyNumberFormat="1" applyFont="1" applyBorder="1"/>
    <xf numFmtId="165" fontId="5" fillId="0" borderId="2" xfId="1" applyNumberFormat="1" applyFont="1" applyFill="1" applyBorder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 indent="3"/>
    </xf>
    <xf numFmtId="165" fontId="2" fillId="0" borderId="2" xfId="1" applyNumberFormat="1" applyFont="1" applyBorder="1"/>
    <xf numFmtId="165" fontId="2" fillId="0" borderId="2" xfId="1" applyNumberFormat="1" applyFont="1" applyFill="1" applyBorder="1"/>
    <xf numFmtId="0" fontId="2" fillId="0" borderId="3" xfId="0" applyFont="1" applyBorder="1" applyAlignment="1">
      <alignment horizontal="left" indent="3"/>
    </xf>
    <xf numFmtId="165" fontId="2" fillId="0" borderId="4" xfId="1" applyNumberFormat="1" applyFont="1" applyBorder="1"/>
    <xf numFmtId="165" fontId="2" fillId="0" borderId="4" xfId="1" applyNumberFormat="1" applyFont="1" applyFill="1" applyBorder="1"/>
    <xf numFmtId="0" fontId="5" fillId="4" borderId="0" xfId="0" applyFont="1" applyFill="1"/>
    <xf numFmtId="165" fontId="5" fillId="2" borderId="2" xfId="1" applyNumberFormat="1" applyFont="1" applyFill="1" applyBorder="1"/>
    <xf numFmtId="0" fontId="5" fillId="4" borderId="0" xfId="0" applyFont="1" applyFill="1" applyAlignment="1">
      <alignment horizontal="left" indent="3"/>
    </xf>
    <xf numFmtId="0" fontId="4" fillId="3" borderId="3" xfId="0" applyFont="1" applyFill="1" applyBorder="1" applyAlignment="1">
      <alignment vertical="center"/>
    </xf>
    <xf numFmtId="165" fontId="4" fillId="3" borderId="4" xfId="1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left" indent="3"/>
    </xf>
    <xf numFmtId="165" fontId="5" fillId="2" borderId="4" xfId="1" applyNumberFormat="1" applyFont="1" applyFill="1" applyBorder="1"/>
    <xf numFmtId="0" fontId="5" fillId="5" borderId="0" xfId="0" applyFont="1" applyFill="1"/>
    <xf numFmtId="165" fontId="5" fillId="6" borderId="2" xfId="1" applyNumberFormat="1" applyFont="1" applyFill="1" applyBorder="1"/>
    <xf numFmtId="0" fontId="5" fillId="5" borderId="0" xfId="0" applyFont="1" applyFill="1" applyAlignment="1">
      <alignment horizontal="left" indent="3"/>
    </xf>
    <xf numFmtId="0" fontId="5" fillId="5" borderId="3" xfId="0" applyFont="1" applyFill="1" applyBorder="1" applyAlignment="1">
      <alignment horizontal="left" indent="3"/>
    </xf>
    <xf numFmtId="165" fontId="5" fillId="6" borderId="4" xfId="1" applyNumberFormat="1" applyFont="1" applyFill="1" applyBorder="1"/>
    <xf numFmtId="0" fontId="4" fillId="3" borderId="0" xfId="0" applyFont="1" applyFill="1"/>
    <xf numFmtId="165" fontId="4" fillId="3" borderId="2" xfId="1" applyNumberFormat="1" applyFont="1" applyFill="1" applyBorder="1"/>
    <xf numFmtId="0" fontId="4" fillId="3" borderId="0" xfId="0" applyFont="1" applyFill="1" applyAlignment="1">
      <alignment horizontal="left" indent="3"/>
    </xf>
    <xf numFmtId="0" fontId="4" fillId="3" borderId="3" xfId="0" applyFont="1" applyFill="1" applyBorder="1" applyAlignment="1">
      <alignment horizontal="left" indent="3"/>
    </xf>
    <xf numFmtId="165" fontId="4" fillId="3" borderId="4" xfId="1" applyNumberFormat="1" applyFont="1" applyFill="1" applyBorder="1"/>
    <xf numFmtId="164" fontId="1" fillId="0" borderId="0" xfId="1" applyNumberFormat="1" applyFont="1"/>
    <xf numFmtId="165" fontId="1" fillId="0" borderId="0" xfId="1" applyNumberFormat="1" applyFont="1"/>
    <xf numFmtId="3" fontId="2" fillId="0" borderId="0" xfId="0" applyNumberFormat="1" applyFont="1" applyFill="1"/>
    <xf numFmtId="165" fontId="2" fillId="0" borderId="0" xfId="1" applyNumberFormat="1" applyFont="1" applyFill="1" applyBorder="1"/>
    <xf numFmtId="0" fontId="3" fillId="0" borderId="0" xfId="0" applyFont="1" applyFill="1"/>
    <xf numFmtId="0" fontId="0" fillId="0" borderId="0" xfId="0" applyFill="1"/>
    <xf numFmtId="167" fontId="2" fillId="0" borderId="0" xfId="1" applyNumberFormat="1" applyFont="1" applyFill="1" applyBorder="1"/>
    <xf numFmtId="167" fontId="2" fillId="0" borderId="0" xfId="1" applyNumberFormat="1" applyFont="1" applyBorder="1"/>
    <xf numFmtId="167" fontId="2" fillId="7" borderId="1" xfId="1" applyNumberFormat="1" applyFont="1" applyFill="1" applyBorder="1" applyAlignment="1">
      <alignment horizontal="center" vertical="center" wrapText="1"/>
    </xf>
    <xf numFmtId="167" fontId="4" fillId="3" borderId="0" xfId="1" applyNumberFormat="1" applyFont="1" applyFill="1" applyBorder="1" applyAlignment="1">
      <alignment horizontal="left" vertical="center"/>
    </xf>
    <xf numFmtId="167" fontId="5" fillId="0" borderId="2" xfId="1" applyNumberFormat="1" applyFont="1" applyFill="1" applyBorder="1"/>
    <xf numFmtId="167" fontId="2" fillId="0" borderId="2" xfId="1" applyNumberFormat="1" applyFont="1" applyFill="1" applyBorder="1"/>
    <xf numFmtId="167" fontId="2" fillId="0" borderId="4" xfId="1" applyNumberFormat="1" applyFont="1" applyFill="1" applyBorder="1"/>
    <xf numFmtId="167" fontId="5" fillId="0" borderId="2" xfId="1" applyNumberFormat="1" applyFont="1" applyBorder="1"/>
    <xf numFmtId="167" fontId="2" fillId="0" borderId="2" xfId="1" applyNumberFormat="1" applyFont="1" applyBorder="1"/>
    <xf numFmtId="167" fontId="2" fillId="0" borderId="4" xfId="1" applyNumberFormat="1" applyFont="1" applyBorder="1"/>
    <xf numFmtId="167" fontId="5" fillId="2" borderId="2" xfId="1" applyNumberFormat="1" applyFont="1" applyFill="1" applyBorder="1"/>
    <xf numFmtId="167" fontId="4" fillId="3" borderId="4" xfId="1" applyNumberFormat="1" applyFont="1" applyFill="1" applyBorder="1" applyAlignment="1">
      <alignment vertical="center"/>
    </xf>
    <xf numFmtId="167" fontId="5" fillId="2" borderId="4" xfId="1" applyNumberFormat="1" applyFont="1" applyFill="1" applyBorder="1"/>
    <xf numFmtId="167" fontId="5" fillId="6" borderId="2" xfId="1" applyNumberFormat="1" applyFont="1" applyFill="1" applyBorder="1"/>
    <xf numFmtId="167" fontId="5" fillId="6" borderId="4" xfId="1" applyNumberFormat="1" applyFont="1" applyFill="1" applyBorder="1"/>
    <xf numFmtId="167" fontId="4" fillId="3" borderId="2" xfId="1" applyNumberFormat="1" applyFont="1" applyFill="1" applyBorder="1"/>
    <xf numFmtId="167" fontId="4" fillId="3" borderId="4" xfId="1" applyNumberFormat="1" applyFont="1" applyFill="1" applyBorder="1"/>
    <xf numFmtId="167" fontId="1" fillId="0" borderId="0" xfId="1" applyNumberFormat="1" applyFont="1"/>
    <xf numFmtId="167" fontId="5" fillId="7" borderId="2" xfId="1" applyNumberFormat="1" applyFont="1" applyFill="1" applyBorder="1"/>
    <xf numFmtId="167" fontId="2" fillId="7" borderId="2" xfId="1" applyNumberFormat="1" applyFont="1" applyFill="1" applyBorder="1"/>
    <xf numFmtId="167" fontId="2" fillId="7" borderId="4" xfId="1" applyNumberFormat="1" applyFont="1" applyFill="1" applyBorder="1"/>
  </cellXfs>
  <cellStyles count="2">
    <cellStyle name="Comma" xfId="1" builtinId="3"/>
    <cellStyle name="Normal" xfId="0" builtinId="0"/>
  </cellStyles>
  <dxfs count="1"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397F-A4BD-4B19-9F1B-84E82752AAF1}">
  <sheetPr codeName="Sheet1">
    <pageSetUpPr fitToPage="1"/>
  </sheetPr>
  <dimension ref="A1:CI479"/>
  <sheetViews>
    <sheetView tabSelected="1" zoomScale="126" zoomScaleNormal="110" workbookViewId="0">
      <pane xSplit="3" ySplit="3" topLeftCell="D282" activePane="bottomRight" state="frozen"/>
      <selection pane="topRight" activeCell="C1" sqref="C1"/>
      <selection pane="bottomLeft" activeCell="A4" sqref="A4"/>
      <selection pane="bottomRight" activeCell="C1" sqref="C1"/>
    </sheetView>
  </sheetViews>
  <sheetFormatPr defaultColWidth="10" defaultRowHeight="14.4" x14ac:dyDescent="0.55000000000000004"/>
  <cols>
    <col min="1" max="1" width="4" style="2" bestFit="1" customWidth="1"/>
    <col min="2" max="2" width="2" bestFit="1" customWidth="1"/>
    <col min="3" max="3" width="44.15625" bestFit="1" customWidth="1"/>
    <col min="4" max="4" width="18.26171875" style="62" customWidth="1"/>
    <col min="5" max="5" width="16" style="62" customWidth="1"/>
    <col min="6" max="6" width="19" style="62" customWidth="1"/>
    <col min="7" max="7" width="20" style="40" customWidth="1"/>
    <col min="8" max="8" width="15.83984375" style="40" customWidth="1"/>
    <col min="9" max="9" width="19.41796875" style="40" customWidth="1"/>
    <col min="10" max="18" width="10" style="3"/>
    <col min="24" max="25" width="10" style="3"/>
  </cols>
  <sheetData>
    <row r="1" spans="1:25" s="44" customFormat="1" ht="17.25" customHeight="1" x14ac:dyDescent="0.55000000000000004">
      <c r="A1" s="41"/>
      <c r="B1" s="41"/>
      <c r="C1" s="41"/>
      <c r="D1" s="45"/>
      <c r="E1" s="45"/>
      <c r="F1" s="45"/>
      <c r="G1" s="42"/>
      <c r="H1" s="42"/>
      <c r="I1" s="42"/>
      <c r="J1" s="43"/>
      <c r="K1" s="43"/>
      <c r="L1" s="43"/>
      <c r="M1" s="43"/>
      <c r="N1" s="43"/>
      <c r="O1" s="43"/>
      <c r="P1" s="43"/>
      <c r="Q1" s="43"/>
      <c r="R1" s="43"/>
      <c r="X1" s="43"/>
      <c r="Y1" s="43"/>
    </row>
    <row r="2" spans="1:25" s="4" customFormat="1" ht="17.25" customHeight="1" x14ac:dyDescent="0.35">
      <c r="D2" s="46"/>
      <c r="E2" s="46"/>
      <c r="F2" s="46"/>
      <c r="G2" s="1"/>
      <c r="H2" s="1"/>
      <c r="I2" s="1" t="s">
        <v>132</v>
      </c>
    </row>
    <row r="3" spans="1:25" ht="20.399999999999999" x14ac:dyDescent="0.55000000000000004">
      <c r="A3" s="5"/>
      <c r="B3" s="5"/>
      <c r="C3" s="6" t="s">
        <v>0</v>
      </c>
      <c r="D3" s="47" t="s">
        <v>126</v>
      </c>
      <c r="E3" s="47" t="s">
        <v>127</v>
      </c>
      <c r="F3" s="47" t="s">
        <v>128</v>
      </c>
      <c r="G3" s="7" t="s">
        <v>129</v>
      </c>
      <c r="H3" s="7" t="s">
        <v>130</v>
      </c>
      <c r="I3" s="7" t="s">
        <v>131</v>
      </c>
    </row>
    <row r="4" spans="1:25" ht="12" customHeight="1" x14ac:dyDescent="0.55000000000000004">
      <c r="A4" s="8"/>
      <c r="B4" s="8"/>
      <c r="C4" s="8" t="s">
        <v>1</v>
      </c>
      <c r="D4" s="48"/>
      <c r="E4" s="48"/>
      <c r="F4" s="48"/>
      <c r="G4" s="9"/>
      <c r="H4" s="9"/>
      <c r="I4" s="9"/>
    </row>
    <row r="5" spans="1:25" ht="12" customHeight="1" x14ac:dyDescent="0.55000000000000004">
      <c r="A5" s="10">
        <v>101</v>
      </c>
      <c r="B5" s="10" t="s">
        <v>2</v>
      </c>
      <c r="C5" s="11" t="s">
        <v>22</v>
      </c>
      <c r="D5" s="49">
        <f t="shared" ref="D5:I5" si="0">SUM(D6:D8)</f>
        <v>97994.339000000007</v>
      </c>
      <c r="E5" s="49">
        <f t="shared" si="0"/>
        <v>0</v>
      </c>
      <c r="F5" s="49">
        <f t="shared" si="0"/>
        <v>97994.339000000007</v>
      </c>
      <c r="G5" s="13">
        <f t="shared" si="0"/>
        <v>100467.713</v>
      </c>
      <c r="H5" s="13">
        <f t="shared" si="0"/>
        <v>0</v>
      </c>
      <c r="I5" s="13">
        <f t="shared" si="0"/>
        <v>100467.713</v>
      </c>
      <c r="X5" s="3">
        <v>1</v>
      </c>
      <c r="Y5" s="3" t="s">
        <v>3</v>
      </c>
    </row>
    <row r="6" spans="1:25" ht="12" customHeight="1" x14ac:dyDescent="0.55000000000000004">
      <c r="A6" s="14">
        <f>A5</f>
        <v>101</v>
      </c>
      <c r="B6" s="15"/>
      <c r="C6" s="16" t="s">
        <v>4</v>
      </c>
      <c r="D6" s="50">
        <v>94494.339000000007</v>
      </c>
      <c r="E6" s="50"/>
      <c r="F6" s="50">
        <f>D6+E6</f>
        <v>94494.339000000007</v>
      </c>
      <c r="G6" s="18">
        <v>96967.713000000003</v>
      </c>
      <c r="H6" s="18"/>
      <c r="I6" s="18">
        <f>G6+H6</f>
        <v>96967.713000000003</v>
      </c>
      <c r="X6" s="3">
        <v>2</v>
      </c>
    </row>
    <row r="7" spans="1:25" ht="12" customHeight="1" x14ac:dyDescent="0.55000000000000004">
      <c r="A7" s="14">
        <f>A6</f>
        <v>101</v>
      </c>
      <c r="B7" s="15"/>
      <c r="C7" s="16" t="s">
        <v>5</v>
      </c>
      <c r="D7" s="50">
        <v>3500</v>
      </c>
      <c r="E7" s="50"/>
      <c r="F7" s="50">
        <f>D7+E7</f>
        <v>3500</v>
      </c>
      <c r="G7" s="18">
        <v>3500</v>
      </c>
      <c r="H7" s="18"/>
      <c r="I7" s="18">
        <f>G7+H7</f>
        <v>3500</v>
      </c>
      <c r="X7" s="3">
        <v>3</v>
      </c>
    </row>
    <row r="8" spans="1:25" ht="12" customHeight="1" x14ac:dyDescent="0.55000000000000004">
      <c r="A8" s="14">
        <f>A7</f>
        <v>101</v>
      </c>
      <c r="B8" s="15"/>
      <c r="C8" s="19" t="s">
        <v>6</v>
      </c>
      <c r="D8" s="51">
        <v>0</v>
      </c>
      <c r="E8" s="51"/>
      <c r="F8" s="51">
        <f>D8+E8</f>
        <v>0</v>
      </c>
      <c r="G8" s="21">
        <v>0</v>
      </c>
      <c r="H8" s="21"/>
      <c r="I8" s="21">
        <f>G8+H8</f>
        <v>0</v>
      </c>
      <c r="X8" s="3">
        <v>4</v>
      </c>
    </row>
    <row r="9" spans="1:25" ht="12" customHeight="1" x14ac:dyDescent="0.55000000000000004">
      <c r="A9" s="10">
        <v>102</v>
      </c>
      <c r="B9" s="10" t="s">
        <v>2</v>
      </c>
      <c r="C9" s="11" t="s">
        <v>23</v>
      </c>
      <c r="D9" s="49">
        <f t="shared" ref="D9:I9" si="1">SUM(D10:D12)</f>
        <v>920</v>
      </c>
      <c r="E9" s="49">
        <f t="shared" si="1"/>
        <v>0</v>
      </c>
      <c r="F9" s="49">
        <f t="shared" si="1"/>
        <v>920</v>
      </c>
      <c r="G9" s="13">
        <f t="shared" si="1"/>
        <v>920</v>
      </c>
      <c r="H9" s="13">
        <f t="shared" si="1"/>
        <v>0</v>
      </c>
      <c r="I9" s="13">
        <f t="shared" si="1"/>
        <v>920</v>
      </c>
      <c r="X9" s="3">
        <v>1</v>
      </c>
    </row>
    <row r="10" spans="1:25" ht="12" customHeight="1" x14ac:dyDescent="0.55000000000000004">
      <c r="A10" s="14">
        <f>A9</f>
        <v>102</v>
      </c>
      <c r="B10" s="15"/>
      <c r="C10" s="16" t="s">
        <v>4</v>
      </c>
      <c r="D10" s="50">
        <v>920</v>
      </c>
      <c r="E10" s="50"/>
      <c r="F10" s="50">
        <f>D10+E10</f>
        <v>920</v>
      </c>
      <c r="G10" s="18">
        <v>920</v>
      </c>
      <c r="H10" s="18"/>
      <c r="I10" s="18">
        <f>G10+H10</f>
        <v>920</v>
      </c>
      <c r="X10" s="3">
        <v>2</v>
      </c>
    </row>
    <row r="11" spans="1:25" ht="12" customHeight="1" x14ac:dyDescent="0.55000000000000004">
      <c r="A11" s="14">
        <f>A10</f>
        <v>102</v>
      </c>
      <c r="B11" s="15"/>
      <c r="C11" s="16" t="s">
        <v>5</v>
      </c>
      <c r="D11" s="50">
        <v>0</v>
      </c>
      <c r="E11" s="50"/>
      <c r="F11" s="50">
        <f>D11+E11</f>
        <v>0</v>
      </c>
      <c r="G11" s="18">
        <v>0</v>
      </c>
      <c r="H11" s="18"/>
      <c r="I11" s="18">
        <f>G11+H11</f>
        <v>0</v>
      </c>
      <c r="X11" s="3">
        <v>3</v>
      </c>
    </row>
    <row r="12" spans="1:25" ht="12" customHeight="1" x14ac:dyDescent="0.55000000000000004">
      <c r="A12" s="14">
        <f>A11</f>
        <v>102</v>
      </c>
      <c r="B12" s="15"/>
      <c r="C12" s="19" t="s">
        <v>6</v>
      </c>
      <c r="D12" s="51">
        <v>0</v>
      </c>
      <c r="E12" s="51"/>
      <c r="F12" s="51">
        <f>D12+E12</f>
        <v>0</v>
      </c>
      <c r="G12" s="21">
        <v>0</v>
      </c>
      <c r="H12" s="21"/>
      <c r="I12" s="21">
        <f>G12+H12</f>
        <v>0</v>
      </c>
      <c r="X12" s="3">
        <v>4</v>
      </c>
    </row>
    <row r="13" spans="1:25" ht="12" customHeight="1" x14ac:dyDescent="0.55000000000000004">
      <c r="A13" s="10">
        <v>103</v>
      </c>
      <c r="B13" s="10" t="s">
        <v>2</v>
      </c>
      <c r="C13" s="11" t="s">
        <v>24</v>
      </c>
      <c r="D13" s="49">
        <f t="shared" ref="D13:I13" si="2">SUM(D14:D16)</f>
        <v>46329.296000000002</v>
      </c>
      <c r="E13" s="49">
        <f t="shared" si="2"/>
        <v>0</v>
      </c>
      <c r="F13" s="49">
        <f t="shared" si="2"/>
        <v>46329.296000000002</v>
      </c>
      <c r="G13" s="13">
        <f t="shared" si="2"/>
        <v>44212.487999999998</v>
      </c>
      <c r="H13" s="13">
        <f t="shared" si="2"/>
        <v>0</v>
      </c>
      <c r="I13" s="13">
        <f t="shared" si="2"/>
        <v>44212.487999999998</v>
      </c>
      <c r="X13" s="3">
        <v>1</v>
      </c>
    </row>
    <row r="14" spans="1:25" ht="12" customHeight="1" x14ac:dyDescent="0.55000000000000004">
      <c r="A14" s="14">
        <f>A13</f>
        <v>103</v>
      </c>
      <c r="B14" s="15"/>
      <c r="C14" s="16" t="s">
        <v>4</v>
      </c>
      <c r="D14" s="50">
        <v>8100</v>
      </c>
      <c r="E14" s="50"/>
      <c r="F14" s="50">
        <f>D14+E14</f>
        <v>8100</v>
      </c>
      <c r="G14" s="18">
        <v>8620</v>
      </c>
      <c r="H14" s="18"/>
      <c r="I14" s="18">
        <f>G14+H14</f>
        <v>8620</v>
      </c>
      <c r="X14" s="3">
        <v>2</v>
      </c>
    </row>
    <row r="15" spans="1:25" ht="12" customHeight="1" x14ac:dyDescent="0.55000000000000004">
      <c r="A15" s="14">
        <f>A14</f>
        <v>103</v>
      </c>
      <c r="B15" s="15"/>
      <c r="C15" s="16" t="s">
        <v>5</v>
      </c>
      <c r="D15" s="50">
        <v>38229.296000000002</v>
      </c>
      <c r="E15" s="50"/>
      <c r="F15" s="50">
        <f>D15+E15</f>
        <v>38229.296000000002</v>
      </c>
      <c r="G15" s="18">
        <v>35592.487999999998</v>
      </c>
      <c r="H15" s="18"/>
      <c r="I15" s="18">
        <f>G15+H15</f>
        <v>35592.487999999998</v>
      </c>
      <c r="X15" s="3">
        <v>3</v>
      </c>
    </row>
    <row r="16" spans="1:25" ht="12" customHeight="1" x14ac:dyDescent="0.55000000000000004">
      <c r="A16" s="14">
        <f>A15</f>
        <v>103</v>
      </c>
      <c r="B16" s="15"/>
      <c r="C16" s="19" t="s">
        <v>6</v>
      </c>
      <c r="D16" s="51">
        <v>0</v>
      </c>
      <c r="E16" s="51"/>
      <c r="F16" s="51">
        <f>D16+E16</f>
        <v>0</v>
      </c>
      <c r="G16" s="21">
        <v>0</v>
      </c>
      <c r="H16" s="21"/>
      <c r="I16" s="21">
        <f>G16+H16</f>
        <v>0</v>
      </c>
      <c r="X16" s="3">
        <v>4</v>
      </c>
    </row>
    <row r="17" spans="1:24" ht="12" customHeight="1" x14ac:dyDescent="0.55000000000000004">
      <c r="A17" s="10">
        <v>105</v>
      </c>
      <c r="B17" s="10" t="s">
        <v>2</v>
      </c>
      <c r="C17" s="11" t="s">
        <v>25</v>
      </c>
      <c r="D17" s="49">
        <f t="shared" ref="D17:I17" si="3">SUM(D18:D20)</f>
        <v>6014.6</v>
      </c>
      <c r="E17" s="49">
        <f t="shared" si="3"/>
        <v>0</v>
      </c>
      <c r="F17" s="49">
        <f t="shared" si="3"/>
        <v>6014.6</v>
      </c>
      <c r="G17" s="13">
        <f t="shared" si="3"/>
        <v>6014.6</v>
      </c>
      <c r="H17" s="13">
        <f t="shared" si="3"/>
        <v>0</v>
      </c>
      <c r="I17" s="13">
        <f t="shared" si="3"/>
        <v>6014.6</v>
      </c>
      <c r="X17" s="3">
        <v>1</v>
      </c>
    </row>
    <row r="18" spans="1:24" ht="12" customHeight="1" x14ac:dyDescent="0.55000000000000004">
      <c r="A18" s="14">
        <f>A17</f>
        <v>105</v>
      </c>
      <c r="B18" s="15"/>
      <c r="C18" s="16" t="s">
        <v>4</v>
      </c>
      <c r="D18" s="50">
        <v>6014.6</v>
      </c>
      <c r="E18" s="50"/>
      <c r="F18" s="50">
        <f>D18+E18</f>
        <v>6014.6</v>
      </c>
      <c r="G18" s="18">
        <v>6014.6</v>
      </c>
      <c r="H18" s="18"/>
      <c r="I18" s="18">
        <f>G18+H18</f>
        <v>6014.6</v>
      </c>
      <c r="X18" s="3">
        <v>2</v>
      </c>
    </row>
    <row r="19" spans="1:24" ht="12" customHeight="1" x14ac:dyDescent="0.55000000000000004">
      <c r="A19" s="14">
        <f>A18</f>
        <v>105</v>
      </c>
      <c r="B19" s="15"/>
      <c r="C19" s="16" t="s">
        <v>5</v>
      </c>
      <c r="D19" s="50">
        <v>0</v>
      </c>
      <c r="E19" s="50"/>
      <c r="F19" s="50">
        <f>D19+E19</f>
        <v>0</v>
      </c>
      <c r="G19" s="18">
        <v>0</v>
      </c>
      <c r="H19" s="18"/>
      <c r="I19" s="18">
        <f>G19+H19</f>
        <v>0</v>
      </c>
      <c r="X19" s="3">
        <v>3</v>
      </c>
    </row>
    <row r="20" spans="1:24" ht="12" customHeight="1" x14ac:dyDescent="0.55000000000000004">
      <c r="A20" s="14">
        <f>A19</f>
        <v>105</v>
      </c>
      <c r="B20" s="15"/>
      <c r="C20" s="19" t="s">
        <v>6</v>
      </c>
      <c r="D20" s="51">
        <v>0</v>
      </c>
      <c r="E20" s="51"/>
      <c r="F20" s="51">
        <f>D20+E20</f>
        <v>0</v>
      </c>
      <c r="G20" s="21">
        <v>0</v>
      </c>
      <c r="H20" s="21"/>
      <c r="I20" s="21">
        <f>G20+H20</f>
        <v>0</v>
      </c>
      <c r="X20" s="3">
        <v>4</v>
      </c>
    </row>
    <row r="21" spans="1:24" ht="12" customHeight="1" x14ac:dyDescent="0.55000000000000004">
      <c r="A21" s="10">
        <v>108</v>
      </c>
      <c r="B21" s="10" t="s">
        <v>2</v>
      </c>
      <c r="C21" s="11" t="s">
        <v>26</v>
      </c>
      <c r="D21" s="49">
        <f t="shared" ref="D21:I21" si="4">SUM(D22:D24)</f>
        <v>8242</v>
      </c>
      <c r="E21" s="49">
        <f t="shared" si="4"/>
        <v>0</v>
      </c>
      <c r="F21" s="49">
        <f t="shared" si="4"/>
        <v>8242</v>
      </c>
      <c r="G21" s="13">
        <f t="shared" si="4"/>
        <v>8242</v>
      </c>
      <c r="H21" s="13">
        <f t="shared" si="4"/>
        <v>0</v>
      </c>
      <c r="I21" s="13">
        <f t="shared" si="4"/>
        <v>8242</v>
      </c>
      <c r="X21" s="3">
        <v>1</v>
      </c>
    </row>
    <row r="22" spans="1:24" ht="12" customHeight="1" x14ac:dyDescent="0.55000000000000004">
      <c r="A22" s="14">
        <f>A21</f>
        <v>108</v>
      </c>
      <c r="B22" s="15"/>
      <c r="C22" s="16" t="s">
        <v>4</v>
      </c>
      <c r="D22" s="50">
        <v>6642</v>
      </c>
      <c r="E22" s="50"/>
      <c r="F22" s="50">
        <f>D22+E22</f>
        <v>6642</v>
      </c>
      <c r="G22" s="18">
        <v>6642</v>
      </c>
      <c r="H22" s="18"/>
      <c r="I22" s="18">
        <f>G22+H22</f>
        <v>6642</v>
      </c>
      <c r="X22" s="3">
        <v>2</v>
      </c>
    </row>
    <row r="23" spans="1:24" ht="12" customHeight="1" x14ac:dyDescent="0.55000000000000004">
      <c r="A23" s="14">
        <f>A22</f>
        <v>108</v>
      </c>
      <c r="B23" s="15"/>
      <c r="C23" s="16" t="s">
        <v>5</v>
      </c>
      <c r="D23" s="50">
        <v>1600</v>
      </c>
      <c r="E23" s="50"/>
      <c r="F23" s="50">
        <f>D23+E23</f>
        <v>1600</v>
      </c>
      <c r="G23" s="18">
        <v>1600</v>
      </c>
      <c r="H23" s="18"/>
      <c r="I23" s="18">
        <f>G23+H23</f>
        <v>1600</v>
      </c>
      <c r="X23" s="3">
        <v>3</v>
      </c>
    </row>
    <row r="24" spans="1:24" ht="12" customHeight="1" x14ac:dyDescent="0.55000000000000004">
      <c r="A24" s="14">
        <f>A23</f>
        <v>108</v>
      </c>
      <c r="B24" s="15"/>
      <c r="C24" s="19" t="s">
        <v>6</v>
      </c>
      <c r="D24" s="51">
        <v>0</v>
      </c>
      <c r="E24" s="51"/>
      <c r="F24" s="51">
        <f>D24+E24</f>
        <v>0</v>
      </c>
      <c r="G24" s="21">
        <v>0</v>
      </c>
      <c r="H24" s="21"/>
      <c r="I24" s="21">
        <f>G24+H24</f>
        <v>0</v>
      </c>
      <c r="X24" s="3">
        <v>4</v>
      </c>
    </row>
    <row r="25" spans="1:24" ht="12" customHeight="1" x14ac:dyDescent="0.55000000000000004">
      <c r="A25" s="10">
        <v>109</v>
      </c>
      <c r="B25" s="10" t="s">
        <v>2</v>
      </c>
      <c r="C25" s="11" t="s">
        <v>27</v>
      </c>
      <c r="D25" s="49">
        <f t="shared" ref="D25:I25" si="5">SUM(D26:D28)</f>
        <v>475</v>
      </c>
      <c r="E25" s="49">
        <f t="shared" si="5"/>
        <v>0</v>
      </c>
      <c r="F25" s="49">
        <f t="shared" si="5"/>
        <v>475</v>
      </c>
      <c r="G25" s="13">
        <f t="shared" si="5"/>
        <v>500</v>
      </c>
      <c r="H25" s="13">
        <f t="shared" si="5"/>
        <v>0</v>
      </c>
      <c r="I25" s="13">
        <f t="shared" si="5"/>
        <v>500</v>
      </c>
      <c r="X25" s="3">
        <v>1</v>
      </c>
    </row>
    <row r="26" spans="1:24" ht="12" customHeight="1" x14ac:dyDescent="0.55000000000000004">
      <c r="A26" s="14">
        <f>A25</f>
        <v>109</v>
      </c>
      <c r="B26" s="15"/>
      <c r="C26" s="16" t="s">
        <v>4</v>
      </c>
      <c r="D26" s="50">
        <v>475</v>
      </c>
      <c r="E26" s="50"/>
      <c r="F26" s="50">
        <f>D26+E26</f>
        <v>475</v>
      </c>
      <c r="G26" s="18">
        <v>500</v>
      </c>
      <c r="H26" s="18"/>
      <c r="I26" s="18">
        <f>G26+H26</f>
        <v>500</v>
      </c>
      <c r="X26" s="3">
        <v>2</v>
      </c>
    </row>
    <row r="27" spans="1:24" ht="12" customHeight="1" x14ac:dyDescent="0.55000000000000004">
      <c r="A27" s="14">
        <f>A26</f>
        <v>109</v>
      </c>
      <c r="B27" s="15"/>
      <c r="C27" s="16" t="s">
        <v>5</v>
      </c>
      <c r="D27" s="50">
        <v>0</v>
      </c>
      <c r="E27" s="50"/>
      <c r="F27" s="50">
        <f>D27+E27</f>
        <v>0</v>
      </c>
      <c r="G27" s="18">
        <v>0</v>
      </c>
      <c r="H27" s="18"/>
      <c r="I27" s="18">
        <f>G27+H27</f>
        <v>0</v>
      </c>
      <c r="X27" s="3">
        <v>3</v>
      </c>
    </row>
    <row r="28" spans="1:24" ht="12" customHeight="1" x14ac:dyDescent="0.55000000000000004">
      <c r="A28" s="14">
        <f>A27</f>
        <v>109</v>
      </c>
      <c r="B28" s="15"/>
      <c r="C28" s="19" t="s">
        <v>6</v>
      </c>
      <c r="D28" s="51">
        <v>0</v>
      </c>
      <c r="E28" s="51"/>
      <c r="F28" s="51">
        <f>D28+E28</f>
        <v>0</v>
      </c>
      <c r="G28" s="21">
        <v>0</v>
      </c>
      <c r="H28" s="21"/>
      <c r="I28" s="21">
        <f>G28+H28</f>
        <v>0</v>
      </c>
      <c r="X28" s="3">
        <v>4</v>
      </c>
    </row>
    <row r="29" spans="1:24" ht="12" customHeight="1" x14ac:dyDescent="0.55000000000000004">
      <c r="A29" s="10">
        <v>110</v>
      </c>
      <c r="B29" s="10" t="s">
        <v>2</v>
      </c>
      <c r="C29" s="11" t="s">
        <v>28</v>
      </c>
      <c r="D29" s="49">
        <f t="shared" ref="D29:I29" si="6">SUM(D30:D32)</f>
        <v>3738</v>
      </c>
      <c r="E29" s="49">
        <f t="shared" si="6"/>
        <v>0</v>
      </c>
      <c r="F29" s="49">
        <f t="shared" si="6"/>
        <v>3738</v>
      </c>
      <c r="G29" s="13">
        <f t="shared" si="6"/>
        <v>3738</v>
      </c>
      <c r="H29" s="13">
        <f t="shared" si="6"/>
        <v>0</v>
      </c>
      <c r="I29" s="13">
        <f t="shared" si="6"/>
        <v>3738</v>
      </c>
      <c r="X29" s="3">
        <v>1</v>
      </c>
    </row>
    <row r="30" spans="1:24" ht="12" customHeight="1" x14ac:dyDescent="0.55000000000000004">
      <c r="A30" s="14">
        <f>A29</f>
        <v>110</v>
      </c>
      <c r="B30" s="15"/>
      <c r="C30" s="16" t="s">
        <v>4</v>
      </c>
      <c r="D30" s="50">
        <v>3738</v>
      </c>
      <c r="E30" s="50"/>
      <c r="F30" s="50">
        <f>D30+E30</f>
        <v>3738</v>
      </c>
      <c r="G30" s="18">
        <v>3738</v>
      </c>
      <c r="H30" s="18"/>
      <c r="I30" s="18">
        <f>G30+H30</f>
        <v>3738</v>
      </c>
      <c r="X30" s="3">
        <v>2</v>
      </c>
    </row>
    <row r="31" spans="1:24" ht="12" customHeight="1" x14ac:dyDescent="0.55000000000000004">
      <c r="A31" s="14">
        <f>A30</f>
        <v>110</v>
      </c>
      <c r="B31" s="15"/>
      <c r="C31" s="16" t="s">
        <v>5</v>
      </c>
      <c r="D31" s="50">
        <v>0</v>
      </c>
      <c r="E31" s="50"/>
      <c r="F31" s="50">
        <f>D31+E31</f>
        <v>0</v>
      </c>
      <c r="G31" s="18">
        <v>0</v>
      </c>
      <c r="H31" s="18"/>
      <c r="I31" s="18">
        <f>G31+H31</f>
        <v>0</v>
      </c>
      <c r="X31" s="3">
        <v>3</v>
      </c>
    </row>
    <row r="32" spans="1:24" ht="12" customHeight="1" x14ac:dyDescent="0.55000000000000004">
      <c r="A32" s="14">
        <f>A31</f>
        <v>110</v>
      </c>
      <c r="B32" s="15"/>
      <c r="C32" s="19" t="s">
        <v>6</v>
      </c>
      <c r="D32" s="51">
        <v>0</v>
      </c>
      <c r="E32" s="51"/>
      <c r="F32" s="51">
        <f>D32+E32</f>
        <v>0</v>
      </c>
      <c r="G32" s="21">
        <v>0</v>
      </c>
      <c r="H32" s="21"/>
      <c r="I32" s="21">
        <f>G32+H32</f>
        <v>0</v>
      </c>
      <c r="X32" s="3">
        <v>4</v>
      </c>
    </row>
    <row r="33" spans="1:24" ht="12" customHeight="1" x14ac:dyDescent="0.55000000000000004">
      <c r="A33" s="10">
        <v>115</v>
      </c>
      <c r="B33" s="10" t="s">
        <v>2</v>
      </c>
      <c r="C33" s="11" t="s">
        <v>29</v>
      </c>
      <c r="D33" s="49">
        <f t="shared" ref="D33:I33" si="7">SUM(D34:D36)</f>
        <v>4365.3599999999997</v>
      </c>
      <c r="E33" s="49">
        <f t="shared" si="7"/>
        <v>0</v>
      </c>
      <c r="F33" s="49">
        <f t="shared" si="7"/>
        <v>4365.3599999999997</v>
      </c>
      <c r="G33" s="13">
        <f t="shared" si="7"/>
        <v>4374.76</v>
      </c>
      <c r="H33" s="13">
        <f t="shared" si="7"/>
        <v>0</v>
      </c>
      <c r="I33" s="13">
        <f t="shared" si="7"/>
        <v>4374.76</v>
      </c>
      <c r="X33" s="3">
        <v>1</v>
      </c>
    </row>
    <row r="34" spans="1:24" ht="12" customHeight="1" x14ac:dyDescent="0.55000000000000004">
      <c r="A34" s="14">
        <f>A33</f>
        <v>115</v>
      </c>
      <c r="B34" s="15"/>
      <c r="C34" s="16" t="s">
        <v>4</v>
      </c>
      <c r="D34" s="50">
        <v>4365.3599999999997</v>
      </c>
      <c r="E34" s="50"/>
      <c r="F34" s="50">
        <f>D34+E34</f>
        <v>4365.3599999999997</v>
      </c>
      <c r="G34" s="18">
        <v>4374.76</v>
      </c>
      <c r="H34" s="18"/>
      <c r="I34" s="18">
        <f>G34+H34</f>
        <v>4374.76</v>
      </c>
      <c r="X34" s="3">
        <v>2</v>
      </c>
    </row>
    <row r="35" spans="1:24" ht="12" customHeight="1" x14ac:dyDescent="0.55000000000000004">
      <c r="A35" s="14">
        <f>A34</f>
        <v>115</v>
      </c>
      <c r="B35" s="15"/>
      <c r="C35" s="16" t="s">
        <v>5</v>
      </c>
      <c r="D35" s="50">
        <v>0</v>
      </c>
      <c r="E35" s="50"/>
      <c r="F35" s="50">
        <f>D35+E35</f>
        <v>0</v>
      </c>
      <c r="G35" s="18">
        <v>0</v>
      </c>
      <c r="H35" s="18"/>
      <c r="I35" s="18">
        <f>G35+H35</f>
        <v>0</v>
      </c>
      <c r="X35" s="3">
        <v>3</v>
      </c>
    </row>
    <row r="36" spans="1:24" ht="12" customHeight="1" x14ac:dyDescent="0.55000000000000004">
      <c r="A36" s="14">
        <f>A35</f>
        <v>115</v>
      </c>
      <c r="B36" s="15"/>
      <c r="C36" s="19" t="s">
        <v>6</v>
      </c>
      <c r="D36" s="51">
        <v>0</v>
      </c>
      <c r="E36" s="51"/>
      <c r="F36" s="51">
        <f>D36+E36</f>
        <v>0</v>
      </c>
      <c r="G36" s="21">
        <v>0</v>
      </c>
      <c r="H36" s="21"/>
      <c r="I36" s="21">
        <f>G36+H36</f>
        <v>0</v>
      </c>
      <c r="X36" s="3">
        <v>4</v>
      </c>
    </row>
    <row r="37" spans="1:24" ht="12" customHeight="1" x14ac:dyDescent="0.55000000000000004">
      <c r="A37" s="10">
        <v>120</v>
      </c>
      <c r="B37" s="10" t="s">
        <v>2</v>
      </c>
      <c r="C37" s="11" t="s">
        <v>30</v>
      </c>
      <c r="D37" s="49">
        <f t="shared" ref="D37:I37" si="8">SUM(D38:D40)</f>
        <v>200</v>
      </c>
      <c r="E37" s="49">
        <f t="shared" si="8"/>
        <v>0</v>
      </c>
      <c r="F37" s="49">
        <f t="shared" si="8"/>
        <v>200</v>
      </c>
      <c r="G37" s="13">
        <f t="shared" si="8"/>
        <v>200</v>
      </c>
      <c r="H37" s="13">
        <f t="shared" si="8"/>
        <v>0</v>
      </c>
      <c r="I37" s="13">
        <f t="shared" si="8"/>
        <v>200</v>
      </c>
      <c r="X37" s="3">
        <v>1</v>
      </c>
    </row>
    <row r="38" spans="1:24" ht="12" customHeight="1" x14ac:dyDescent="0.55000000000000004">
      <c r="A38" s="14">
        <f>A37</f>
        <v>120</v>
      </c>
      <c r="B38" s="15"/>
      <c r="C38" s="16" t="s">
        <v>4</v>
      </c>
      <c r="D38" s="50">
        <v>200</v>
      </c>
      <c r="E38" s="50"/>
      <c r="F38" s="50">
        <f>D38+E38</f>
        <v>200</v>
      </c>
      <c r="G38" s="18">
        <v>200</v>
      </c>
      <c r="H38" s="18"/>
      <c r="I38" s="18">
        <f>G38+H38</f>
        <v>200</v>
      </c>
      <c r="X38" s="3">
        <v>2</v>
      </c>
    </row>
    <row r="39" spans="1:24" ht="12" customHeight="1" x14ac:dyDescent="0.55000000000000004">
      <c r="A39" s="14">
        <f>A38</f>
        <v>120</v>
      </c>
      <c r="B39" s="15"/>
      <c r="C39" s="16" t="s">
        <v>5</v>
      </c>
      <c r="D39" s="50">
        <v>0</v>
      </c>
      <c r="E39" s="50"/>
      <c r="F39" s="50">
        <f>D39+E39</f>
        <v>0</v>
      </c>
      <c r="G39" s="18">
        <v>0</v>
      </c>
      <c r="H39" s="18"/>
      <c r="I39" s="18">
        <f>G39+H39</f>
        <v>0</v>
      </c>
      <c r="X39" s="3">
        <v>3</v>
      </c>
    </row>
    <row r="40" spans="1:24" ht="12" customHeight="1" x14ac:dyDescent="0.55000000000000004">
      <c r="A40" s="14">
        <f>A39</f>
        <v>120</v>
      </c>
      <c r="B40" s="15"/>
      <c r="C40" s="19" t="s">
        <v>6</v>
      </c>
      <c r="D40" s="51">
        <v>0</v>
      </c>
      <c r="E40" s="51"/>
      <c r="F40" s="51">
        <f>D40+E40</f>
        <v>0</v>
      </c>
      <c r="G40" s="21">
        <v>0</v>
      </c>
      <c r="H40" s="21"/>
      <c r="I40" s="21">
        <f>G40+H40</f>
        <v>0</v>
      </c>
      <c r="X40" s="3">
        <v>4</v>
      </c>
    </row>
    <row r="41" spans="1:24" ht="12" customHeight="1" x14ac:dyDescent="0.55000000000000004">
      <c r="A41" s="10">
        <v>131</v>
      </c>
      <c r="B41" s="10" t="s">
        <v>2</v>
      </c>
      <c r="C41" s="11" t="s">
        <v>31</v>
      </c>
      <c r="D41" s="52">
        <f t="shared" ref="D41:I41" si="9">SUM(D42:D44)</f>
        <v>26210</v>
      </c>
      <c r="E41" s="49">
        <f t="shared" si="9"/>
        <v>0</v>
      </c>
      <c r="F41" s="49">
        <f t="shared" si="9"/>
        <v>26210</v>
      </c>
      <c r="G41" s="13">
        <f t="shared" si="9"/>
        <v>26501</v>
      </c>
      <c r="H41" s="13">
        <f t="shared" si="9"/>
        <v>0</v>
      </c>
      <c r="I41" s="13">
        <f t="shared" si="9"/>
        <v>26501</v>
      </c>
      <c r="X41" s="3">
        <v>1</v>
      </c>
    </row>
    <row r="42" spans="1:24" ht="12" customHeight="1" x14ac:dyDescent="0.55000000000000004">
      <c r="A42" s="14">
        <f>A41</f>
        <v>131</v>
      </c>
      <c r="B42" s="15"/>
      <c r="C42" s="16" t="s">
        <v>4</v>
      </c>
      <c r="D42" s="53">
        <v>26210</v>
      </c>
      <c r="E42" s="50"/>
      <c r="F42" s="50">
        <f>D42+E42</f>
        <v>26210</v>
      </c>
      <c r="G42" s="18">
        <v>26501</v>
      </c>
      <c r="H42" s="18"/>
      <c r="I42" s="18">
        <f>G42+H42</f>
        <v>26501</v>
      </c>
      <c r="X42" s="3">
        <v>2</v>
      </c>
    </row>
    <row r="43" spans="1:24" ht="12" customHeight="1" x14ac:dyDescent="0.55000000000000004">
      <c r="A43" s="14">
        <f>A42</f>
        <v>131</v>
      </c>
      <c r="B43" s="15"/>
      <c r="C43" s="16" t="s">
        <v>5</v>
      </c>
      <c r="D43" s="53">
        <v>0</v>
      </c>
      <c r="E43" s="50"/>
      <c r="F43" s="50">
        <f>D43+E43</f>
        <v>0</v>
      </c>
      <c r="G43" s="18">
        <v>0</v>
      </c>
      <c r="H43" s="18"/>
      <c r="I43" s="18">
        <f>G43+H43</f>
        <v>0</v>
      </c>
      <c r="X43" s="3">
        <v>3</v>
      </c>
    </row>
    <row r="44" spans="1:24" ht="12" customHeight="1" x14ac:dyDescent="0.55000000000000004">
      <c r="A44" s="14">
        <f>A43</f>
        <v>131</v>
      </c>
      <c r="B44" s="15"/>
      <c r="C44" s="19" t="s">
        <v>6</v>
      </c>
      <c r="D44" s="54">
        <v>0</v>
      </c>
      <c r="E44" s="51"/>
      <c r="F44" s="51">
        <f>D44+E44</f>
        <v>0</v>
      </c>
      <c r="G44" s="21">
        <v>0</v>
      </c>
      <c r="H44" s="21"/>
      <c r="I44" s="21">
        <f>G44+H44</f>
        <v>0</v>
      </c>
      <c r="X44" s="3">
        <v>4</v>
      </c>
    </row>
    <row r="45" spans="1:24" ht="12" customHeight="1" x14ac:dyDescent="0.55000000000000004">
      <c r="A45" s="10">
        <v>156</v>
      </c>
      <c r="B45" s="10" t="s">
        <v>2</v>
      </c>
      <c r="C45" s="11" t="s">
        <v>32</v>
      </c>
      <c r="D45" s="49">
        <f t="shared" ref="D45:I45" si="10">SUM(D46:D48)</f>
        <v>5850.6</v>
      </c>
      <c r="E45" s="49">
        <f t="shared" si="10"/>
        <v>283944.09499999997</v>
      </c>
      <c r="F45" s="49">
        <f t="shared" si="10"/>
        <v>289794.69499999995</v>
      </c>
      <c r="G45" s="13">
        <f t="shared" si="10"/>
        <v>5742.9480000000003</v>
      </c>
      <c r="H45" s="13">
        <f t="shared" si="10"/>
        <v>197034.68299999999</v>
      </c>
      <c r="I45" s="13">
        <f t="shared" si="10"/>
        <v>202777.63099999999</v>
      </c>
      <c r="X45" s="3">
        <v>1</v>
      </c>
    </row>
    <row r="46" spans="1:24" ht="12" customHeight="1" x14ac:dyDescent="0.55000000000000004">
      <c r="A46" s="14">
        <f>A45</f>
        <v>156</v>
      </c>
      <c r="B46" s="15"/>
      <c r="C46" s="16" t="s">
        <v>4</v>
      </c>
      <c r="D46" s="50">
        <v>5850.6</v>
      </c>
      <c r="E46" s="50"/>
      <c r="F46" s="50">
        <f>D46+E46</f>
        <v>5850.6</v>
      </c>
      <c r="G46" s="18">
        <v>5742.9480000000003</v>
      </c>
      <c r="H46" s="18"/>
      <c r="I46" s="18">
        <f>G46+H46</f>
        <v>5742.9480000000003</v>
      </c>
      <c r="X46" s="3">
        <v>2</v>
      </c>
    </row>
    <row r="47" spans="1:24" ht="12" customHeight="1" x14ac:dyDescent="0.55000000000000004">
      <c r="A47" s="14">
        <f>A46</f>
        <v>156</v>
      </c>
      <c r="B47" s="15"/>
      <c r="C47" s="16" t="s">
        <v>5</v>
      </c>
      <c r="D47" s="50">
        <v>0</v>
      </c>
      <c r="E47" s="50">
        <v>283944.09499999997</v>
      </c>
      <c r="F47" s="50">
        <f>D47+E47</f>
        <v>283944.09499999997</v>
      </c>
      <c r="G47" s="18">
        <v>0</v>
      </c>
      <c r="H47" s="18">
        <v>197034.68299999999</v>
      </c>
      <c r="I47" s="18">
        <f>G47+H47</f>
        <v>197034.68299999999</v>
      </c>
      <c r="X47" s="3">
        <v>3</v>
      </c>
    </row>
    <row r="48" spans="1:24" ht="12" customHeight="1" x14ac:dyDescent="0.55000000000000004">
      <c r="A48" s="14">
        <f>A47</f>
        <v>156</v>
      </c>
      <c r="B48" s="15"/>
      <c r="C48" s="19" t="s">
        <v>6</v>
      </c>
      <c r="D48" s="51">
        <v>0</v>
      </c>
      <c r="E48" s="51"/>
      <c r="F48" s="51">
        <f>D48+E48</f>
        <v>0</v>
      </c>
      <c r="G48" s="21">
        <v>0</v>
      </c>
      <c r="H48" s="21"/>
      <c r="I48" s="21">
        <f>G48+H48</f>
        <v>0</v>
      </c>
      <c r="X48" s="3">
        <v>4</v>
      </c>
    </row>
    <row r="49" spans="1:25" ht="12" customHeight="1" x14ac:dyDescent="0.55000000000000004">
      <c r="A49" s="10">
        <v>167</v>
      </c>
      <c r="B49" s="10" t="s">
        <v>2</v>
      </c>
      <c r="C49" s="11" t="s">
        <v>33</v>
      </c>
      <c r="D49" s="49">
        <f t="shared" ref="D49:I49" si="11">SUM(D50:D52)</f>
        <v>1390.7</v>
      </c>
      <c r="E49" s="49">
        <f t="shared" si="11"/>
        <v>0</v>
      </c>
      <c r="F49" s="49">
        <f t="shared" si="11"/>
        <v>1390.7</v>
      </c>
      <c r="G49" s="13">
        <f t="shared" si="11"/>
        <v>1390.7</v>
      </c>
      <c r="H49" s="13">
        <f t="shared" si="11"/>
        <v>0</v>
      </c>
      <c r="I49" s="13">
        <f t="shared" si="11"/>
        <v>1390.7</v>
      </c>
      <c r="X49" s="3">
        <v>1</v>
      </c>
    </row>
    <row r="50" spans="1:25" ht="12" customHeight="1" x14ac:dyDescent="0.55000000000000004">
      <c r="A50" s="14">
        <f>A49</f>
        <v>167</v>
      </c>
      <c r="B50" s="15"/>
      <c r="C50" s="16" t="s">
        <v>4</v>
      </c>
      <c r="D50" s="50">
        <v>1390.7</v>
      </c>
      <c r="E50" s="50"/>
      <c r="F50" s="50">
        <f>D50+E50</f>
        <v>1390.7</v>
      </c>
      <c r="G50" s="18">
        <v>1390.7</v>
      </c>
      <c r="H50" s="18"/>
      <c r="I50" s="18">
        <f>G50+H50</f>
        <v>1390.7</v>
      </c>
      <c r="X50" s="3">
        <v>2</v>
      </c>
    </row>
    <row r="51" spans="1:25" ht="12" customHeight="1" x14ac:dyDescent="0.55000000000000004">
      <c r="A51" s="14">
        <f>A50</f>
        <v>167</v>
      </c>
      <c r="B51" s="15"/>
      <c r="C51" s="16" t="s">
        <v>5</v>
      </c>
      <c r="D51" s="50">
        <v>0</v>
      </c>
      <c r="E51" s="50"/>
      <c r="F51" s="50">
        <f>D51+E51</f>
        <v>0</v>
      </c>
      <c r="G51" s="18">
        <v>0</v>
      </c>
      <c r="H51" s="18"/>
      <c r="I51" s="18">
        <f>G51+H51</f>
        <v>0</v>
      </c>
      <c r="X51" s="3">
        <v>3</v>
      </c>
    </row>
    <row r="52" spans="1:25" ht="12" customHeight="1" x14ac:dyDescent="0.55000000000000004">
      <c r="A52" s="14">
        <f>A51</f>
        <v>167</v>
      </c>
      <c r="B52" s="15"/>
      <c r="C52" s="19" t="s">
        <v>6</v>
      </c>
      <c r="D52" s="51">
        <v>0</v>
      </c>
      <c r="E52" s="51"/>
      <c r="F52" s="51">
        <f>D52+E52</f>
        <v>0</v>
      </c>
      <c r="G52" s="21">
        <v>0</v>
      </c>
      <c r="H52" s="21"/>
      <c r="I52" s="21">
        <f>G52+H52</f>
        <v>0</v>
      </c>
      <c r="X52" s="3">
        <v>4</v>
      </c>
    </row>
    <row r="53" spans="1:25" ht="12" customHeight="1" x14ac:dyDescent="0.55000000000000004">
      <c r="A53" s="10">
        <v>510</v>
      </c>
      <c r="B53" s="10" t="s">
        <v>2</v>
      </c>
      <c r="C53" s="11" t="s">
        <v>34</v>
      </c>
      <c r="D53" s="52">
        <f t="shared" ref="D53:I53" si="12">SUM(D54:D56)</f>
        <v>15554.1</v>
      </c>
      <c r="E53" s="49">
        <f t="shared" si="12"/>
        <v>0</v>
      </c>
      <c r="F53" s="49">
        <f t="shared" si="12"/>
        <v>15554.1</v>
      </c>
      <c r="G53" s="12">
        <f t="shared" si="12"/>
        <v>15228.7</v>
      </c>
      <c r="H53" s="13">
        <f t="shared" si="12"/>
        <v>0</v>
      </c>
      <c r="I53" s="13">
        <f t="shared" si="12"/>
        <v>15228.7</v>
      </c>
      <c r="X53" s="3">
        <v>1</v>
      </c>
    </row>
    <row r="54" spans="1:25" ht="12" customHeight="1" x14ac:dyDescent="0.55000000000000004">
      <c r="A54" s="14">
        <f>A53</f>
        <v>510</v>
      </c>
      <c r="B54" s="15"/>
      <c r="C54" s="16" t="s">
        <v>4</v>
      </c>
      <c r="D54" s="53">
        <v>12291</v>
      </c>
      <c r="E54" s="50"/>
      <c r="F54" s="50">
        <f>D54+E54</f>
        <v>12291</v>
      </c>
      <c r="G54" s="17">
        <v>12242.1</v>
      </c>
      <c r="H54" s="18"/>
      <c r="I54" s="18">
        <f>G54+H54</f>
        <v>12242.1</v>
      </c>
      <c r="X54" s="3">
        <v>2</v>
      </c>
    </row>
    <row r="55" spans="1:25" ht="12" customHeight="1" x14ac:dyDescent="0.55000000000000004">
      <c r="A55" s="14">
        <f>A54</f>
        <v>510</v>
      </c>
      <c r="B55" s="15"/>
      <c r="C55" s="16" t="s">
        <v>5</v>
      </c>
      <c r="D55" s="53">
        <v>3263.1</v>
      </c>
      <c r="E55" s="50"/>
      <c r="F55" s="50">
        <f>D55+E55</f>
        <v>3263.1</v>
      </c>
      <c r="G55" s="17">
        <v>2986.6</v>
      </c>
      <c r="H55" s="18"/>
      <c r="I55" s="18">
        <f>G55+H55</f>
        <v>2986.6</v>
      </c>
      <c r="X55" s="3">
        <v>3</v>
      </c>
    </row>
    <row r="56" spans="1:25" ht="12" customHeight="1" x14ac:dyDescent="0.55000000000000004">
      <c r="A56" s="14">
        <f>A55</f>
        <v>510</v>
      </c>
      <c r="B56" s="15"/>
      <c r="C56" s="19" t="s">
        <v>6</v>
      </c>
      <c r="D56" s="54">
        <v>0</v>
      </c>
      <c r="E56" s="51"/>
      <c r="F56" s="51">
        <f>D56+E56</f>
        <v>0</v>
      </c>
      <c r="G56" s="20">
        <v>0</v>
      </c>
      <c r="H56" s="21"/>
      <c r="I56" s="21">
        <f>G56+H56</f>
        <v>0</v>
      </c>
      <c r="X56" s="3">
        <v>4</v>
      </c>
    </row>
    <row r="57" spans="1:25" ht="12" customHeight="1" x14ac:dyDescent="0.55000000000000004">
      <c r="A57" s="14"/>
      <c r="B57" s="10"/>
      <c r="C57" s="22" t="s">
        <v>7</v>
      </c>
      <c r="D57" s="55">
        <f>SUMIF($X$1:$X$56, $Y57,D$1:D$56)</f>
        <v>217283.99500000002</v>
      </c>
      <c r="E57" s="55">
        <f t="shared" ref="E57:F60" si="13">SUMIF($X$1:$X$56, $Y57,E$1:E$56)</f>
        <v>283944.09499999997</v>
      </c>
      <c r="F57" s="55">
        <f t="shared" si="13"/>
        <v>501228.08999999991</v>
      </c>
      <c r="G57" s="23">
        <f>SUMIF($X$1:$X$56, $Y57,G$1:G$56)</f>
        <v>217532.90900000004</v>
      </c>
      <c r="H57" s="23">
        <f t="shared" ref="H57:I60" si="14">SUMIF($X$1:$X$56, $Y57,H$1:H$56)</f>
        <v>197034.68299999999</v>
      </c>
      <c r="I57" s="23">
        <f t="shared" si="14"/>
        <v>414567.59200000006</v>
      </c>
      <c r="Y57" s="3">
        <v>1</v>
      </c>
    </row>
    <row r="58" spans="1:25" ht="12" customHeight="1" x14ac:dyDescent="0.55000000000000004">
      <c r="A58" s="14"/>
      <c r="B58" s="15"/>
      <c r="C58" s="24" t="s">
        <v>4</v>
      </c>
      <c r="D58" s="55">
        <f>SUMIF($X$1:$X$56, $Y58,D$1:D$56)</f>
        <v>170691.59900000002</v>
      </c>
      <c r="E58" s="55">
        <f t="shared" si="13"/>
        <v>0</v>
      </c>
      <c r="F58" s="55">
        <f t="shared" si="13"/>
        <v>170691.59900000002</v>
      </c>
      <c r="G58" s="23">
        <f>SUMIF($X$1:$X$56, $Y58,G$1:G$56)</f>
        <v>173853.82100000003</v>
      </c>
      <c r="H58" s="23">
        <f t="shared" si="14"/>
        <v>0</v>
      </c>
      <c r="I58" s="23">
        <f t="shared" si="14"/>
        <v>173853.82100000003</v>
      </c>
      <c r="Y58" s="3">
        <v>2</v>
      </c>
    </row>
    <row r="59" spans="1:25" ht="12" customHeight="1" x14ac:dyDescent="0.55000000000000004">
      <c r="A59" s="14"/>
      <c r="B59" s="15"/>
      <c r="C59" s="24" t="s">
        <v>5</v>
      </c>
      <c r="D59" s="55">
        <f>SUMIF($X$1:$X$56, $Y59,D$1:D$56)</f>
        <v>46592.396000000001</v>
      </c>
      <c r="E59" s="55">
        <f t="shared" si="13"/>
        <v>283944.09499999997</v>
      </c>
      <c r="F59" s="55">
        <f t="shared" si="13"/>
        <v>330536.49099999992</v>
      </c>
      <c r="G59" s="23">
        <f>SUMIF($X$1:$X$56, $Y59,G$1:G$56)</f>
        <v>43679.087999999996</v>
      </c>
      <c r="H59" s="23">
        <f t="shared" si="14"/>
        <v>197034.68299999999</v>
      </c>
      <c r="I59" s="23">
        <f t="shared" si="14"/>
        <v>240713.77099999998</v>
      </c>
      <c r="Y59" s="3">
        <v>3</v>
      </c>
    </row>
    <row r="60" spans="1:25" ht="12" customHeight="1" x14ac:dyDescent="0.55000000000000004">
      <c r="A60" s="14"/>
      <c r="B60" s="15"/>
      <c r="C60" s="24" t="s">
        <v>6</v>
      </c>
      <c r="D60" s="55">
        <f>SUMIF($X$1:$X$56, $Y60,D$1:D$56)</f>
        <v>0</v>
      </c>
      <c r="E60" s="55">
        <f t="shared" si="13"/>
        <v>0</v>
      </c>
      <c r="F60" s="55">
        <f t="shared" si="13"/>
        <v>0</v>
      </c>
      <c r="G60" s="23">
        <f>SUMIF($X$1:$X$56, $Y60,G$1:G$56)</f>
        <v>0</v>
      </c>
      <c r="H60" s="23">
        <f t="shared" si="14"/>
        <v>0</v>
      </c>
      <c r="I60" s="23">
        <f t="shared" si="14"/>
        <v>0</v>
      </c>
      <c r="Y60" s="3">
        <v>4</v>
      </c>
    </row>
    <row r="61" spans="1:25" ht="12" customHeight="1" x14ac:dyDescent="0.55000000000000004">
      <c r="A61" s="25"/>
      <c r="B61" s="25"/>
      <c r="C61" s="25" t="s">
        <v>8</v>
      </c>
      <c r="D61" s="56"/>
      <c r="E61" s="56"/>
      <c r="F61" s="56"/>
      <c r="G61" s="26"/>
      <c r="H61" s="26"/>
      <c r="I61" s="26"/>
    </row>
    <row r="62" spans="1:25" ht="12" customHeight="1" x14ac:dyDescent="0.55000000000000004">
      <c r="A62" s="10">
        <v>201</v>
      </c>
      <c r="B62" s="10" t="s">
        <v>2</v>
      </c>
      <c r="C62" s="11" t="s">
        <v>35</v>
      </c>
      <c r="D62" s="49">
        <f t="shared" ref="D62:I62" si="15">SUM(D63:D65)</f>
        <v>651326.70000000007</v>
      </c>
      <c r="E62" s="49">
        <f t="shared" si="15"/>
        <v>0</v>
      </c>
      <c r="F62" s="49">
        <f t="shared" si="15"/>
        <v>651326.70000000007</v>
      </c>
      <c r="G62" s="13">
        <f t="shared" si="15"/>
        <v>614801.9</v>
      </c>
      <c r="H62" s="13">
        <f t="shared" si="15"/>
        <v>0</v>
      </c>
      <c r="I62" s="13">
        <f t="shared" si="15"/>
        <v>614801.9</v>
      </c>
      <c r="X62" s="3">
        <v>1</v>
      </c>
    </row>
    <row r="63" spans="1:25" ht="12" customHeight="1" x14ac:dyDescent="0.55000000000000004">
      <c r="A63" s="14">
        <f>A62</f>
        <v>201</v>
      </c>
      <c r="B63" s="15"/>
      <c r="C63" s="16" t="s">
        <v>4</v>
      </c>
      <c r="D63" s="50">
        <v>569192.80000000005</v>
      </c>
      <c r="E63" s="50"/>
      <c r="F63" s="50">
        <f>D63+E63</f>
        <v>569192.80000000005</v>
      </c>
      <c r="G63" s="18">
        <v>531668</v>
      </c>
      <c r="H63" s="18"/>
      <c r="I63" s="18">
        <f>G63+H63</f>
        <v>531668</v>
      </c>
      <c r="X63" s="3">
        <v>2</v>
      </c>
    </row>
    <row r="64" spans="1:25" ht="12" customHeight="1" x14ac:dyDescent="0.55000000000000004">
      <c r="A64" s="14">
        <f>A63</f>
        <v>201</v>
      </c>
      <c r="B64" s="15"/>
      <c r="C64" s="16" t="s">
        <v>5</v>
      </c>
      <c r="D64" s="50">
        <v>72133.899999999994</v>
      </c>
      <c r="E64" s="50"/>
      <c r="F64" s="50">
        <f>D64+E64</f>
        <v>72133.899999999994</v>
      </c>
      <c r="G64" s="18">
        <v>72133.899999999994</v>
      </c>
      <c r="H64" s="18"/>
      <c r="I64" s="18">
        <f>G64+H64</f>
        <v>72133.899999999994</v>
      </c>
      <c r="X64" s="3">
        <v>3</v>
      </c>
    </row>
    <row r="65" spans="1:24" ht="12" customHeight="1" x14ac:dyDescent="0.55000000000000004">
      <c r="A65" s="14">
        <f>A64</f>
        <v>201</v>
      </c>
      <c r="B65" s="15"/>
      <c r="C65" s="19" t="s">
        <v>6</v>
      </c>
      <c r="D65" s="51">
        <v>10000</v>
      </c>
      <c r="E65" s="51"/>
      <c r="F65" s="51">
        <f>D65+E65</f>
        <v>10000</v>
      </c>
      <c r="G65" s="21">
        <v>11000</v>
      </c>
      <c r="H65" s="21"/>
      <c r="I65" s="21">
        <f>G65+H65</f>
        <v>11000</v>
      </c>
      <c r="X65" s="3">
        <v>4</v>
      </c>
    </row>
    <row r="66" spans="1:24" ht="12" customHeight="1" x14ac:dyDescent="0.55000000000000004">
      <c r="A66" s="10">
        <v>204</v>
      </c>
      <c r="B66" s="10" t="s">
        <v>2</v>
      </c>
      <c r="C66" s="11" t="s">
        <v>36</v>
      </c>
      <c r="D66" s="49">
        <f t="shared" ref="D66:I66" si="16">SUM(D67:D69)</f>
        <v>0</v>
      </c>
      <c r="E66" s="49">
        <f t="shared" si="16"/>
        <v>0</v>
      </c>
      <c r="F66" s="49">
        <f t="shared" si="16"/>
        <v>0</v>
      </c>
      <c r="G66" s="13">
        <f t="shared" si="16"/>
        <v>81353.600000000006</v>
      </c>
      <c r="H66" s="13">
        <f t="shared" si="16"/>
        <v>0</v>
      </c>
      <c r="I66" s="13">
        <f t="shared" si="16"/>
        <v>81353.600000000006</v>
      </c>
      <c r="X66" s="3">
        <v>1</v>
      </c>
    </row>
    <row r="67" spans="1:24" ht="12" customHeight="1" x14ac:dyDescent="0.55000000000000004">
      <c r="A67" s="14">
        <f>A66</f>
        <v>204</v>
      </c>
      <c r="B67" s="15"/>
      <c r="C67" s="16" t="s">
        <v>4</v>
      </c>
      <c r="D67" s="50">
        <v>0</v>
      </c>
      <c r="E67" s="50"/>
      <c r="F67" s="50">
        <f>D67+E67</f>
        <v>0</v>
      </c>
      <c r="G67" s="18">
        <v>74853.600000000006</v>
      </c>
      <c r="H67" s="18"/>
      <c r="I67" s="18">
        <f>G67+H67</f>
        <v>74853.600000000006</v>
      </c>
      <c r="X67" s="3">
        <v>2</v>
      </c>
    </row>
    <row r="68" spans="1:24" ht="12" customHeight="1" x14ac:dyDescent="0.55000000000000004">
      <c r="A68" s="14">
        <f>A67</f>
        <v>204</v>
      </c>
      <c r="B68" s="15"/>
      <c r="C68" s="16" t="s">
        <v>5</v>
      </c>
      <c r="D68" s="50">
        <v>0</v>
      </c>
      <c r="E68" s="50"/>
      <c r="F68" s="50">
        <f>D68+E68</f>
        <v>0</v>
      </c>
      <c r="G68" s="18">
        <v>1000</v>
      </c>
      <c r="H68" s="18"/>
      <c r="I68" s="18">
        <f>G68+H68</f>
        <v>1000</v>
      </c>
      <c r="X68" s="3">
        <v>3</v>
      </c>
    </row>
    <row r="69" spans="1:24" ht="12" customHeight="1" x14ac:dyDescent="0.55000000000000004">
      <c r="A69" s="14">
        <f>A68</f>
        <v>204</v>
      </c>
      <c r="B69" s="15"/>
      <c r="C69" s="19" t="s">
        <v>6</v>
      </c>
      <c r="D69" s="51">
        <v>0</v>
      </c>
      <c r="E69" s="51"/>
      <c r="F69" s="51">
        <f>D69+E69</f>
        <v>0</v>
      </c>
      <c r="G69" s="21">
        <v>5500</v>
      </c>
      <c r="H69" s="21"/>
      <c r="I69" s="21">
        <f>G69+H69</f>
        <v>5500</v>
      </c>
      <c r="X69" s="3">
        <v>4</v>
      </c>
    </row>
    <row r="70" spans="1:24" ht="12" customHeight="1" x14ac:dyDescent="0.55000000000000004">
      <c r="A70" s="10">
        <v>210</v>
      </c>
      <c r="B70" s="10" t="s">
        <v>2</v>
      </c>
      <c r="C70" s="11" t="s">
        <v>37</v>
      </c>
      <c r="D70" s="49">
        <f t="shared" ref="D70:I70" si="17">SUM(D71:D73)</f>
        <v>5400</v>
      </c>
      <c r="E70" s="49">
        <f t="shared" si="17"/>
        <v>0</v>
      </c>
      <c r="F70" s="49">
        <f t="shared" si="17"/>
        <v>5400</v>
      </c>
      <c r="G70" s="13">
        <f t="shared" si="17"/>
        <v>5400</v>
      </c>
      <c r="H70" s="13">
        <f t="shared" si="17"/>
        <v>0</v>
      </c>
      <c r="I70" s="13">
        <f t="shared" si="17"/>
        <v>5400</v>
      </c>
      <c r="X70" s="3">
        <v>1</v>
      </c>
    </row>
    <row r="71" spans="1:24" ht="12" customHeight="1" x14ac:dyDescent="0.55000000000000004">
      <c r="A71" s="14">
        <f>A70</f>
        <v>210</v>
      </c>
      <c r="B71" s="15"/>
      <c r="C71" s="16" t="s">
        <v>4</v>
      </c>
      <c r="D71" s="50">
        <v>900</v>
      </c>
      <c r="E71" s="50"/>
      <c r="F71" s="50">
        <f>D71+E71</f>
        <v>900</v>
      </c>
      <c r="G71" s="18">
        <v>900</v>
      </c>
      <c r="H71" s="18"/>
      <c r="I71" s="18">
        <f>G71+H71</f>
        <v>900</v>
      </c>
      <c r="X71" s="3">
        <v>2</v>
      </c>
    </row>
    <row r="72" spans="1:24" ht="12" customHeight="1" x14ac:dyDescent="0.55000000000000004">
      <c r="A72" s="14">
        <f>A71</f>
        <v>210</v>
      </c>
      <c r="B72" s="15"/>
      <c r="C72" s="16" t="s">
        <v>5</v>
      </c>
      <c r="D72" s="50">
        <v>4500</v>
      </c>
      <c r="E72" s="50"/>
      <c r="F72" s="50">
        <f>D72+E72</f>
        <v>4500</v>
      </c>
      <c r="G72" s="18">
        <v>4500</v>
      </c>
      <c r="H72" s="18"/>
      <c r="I72" s="18">
        <f>G72+H72</f>
        <v>4500</v>
      </c>
      <c r="X72" s="3">
        <v>3</v>
      </c>
    </row>
    <row r="73" spans="1:24" ht="12" customHeight="1" x14ac:dyDescent="0.55000000000000004">
      <c r="A73" s="14">
        <f>A72</f>
        <v>210</v>
      </c>
      <c r="B73" s="15"/>
      <c r="C73" s="19" t="s">
        <v>6</v>
      </c>
      <c r="D73" s="51">
        <v>0</v>
      </c>
      <c r="E73" s="51"/>
      <c r="F73" s="51">
        <f>D73+E73</f>
        <v>0</v>
      </c>
      <c r="G73" s="21">
        <v>0</v>
      </c>
      <c r="H73" s="21"/>
      <c r="I73" s="21">
        <f>G73+H73</f>
        <v>0</v>
      </c>
      <c r="X73" s="3">
        <v>4</v>
      </c>
    </row>
    <row r="74" spans="1:24" ht="12" customHeight="1" x14ac:dyDescent="0.55000000000000004">
      <c r="A74" s="10">
        <v>275</v>
      </c>
      <c r="B74" s="10" t="s">
        <v>2</v>
      </c>
      <c r="C74" s="11" t="s">
        <v>38</v>
      </c>
      <c r="D74" s="52">
        <f t="shared" ref="D74:I74" si="18">SUM(D75:D77)</f>
        <v>148889</v>
      </c>
      <c r="E74" s="49">
        <f t="shared" si="18"/>
        <v>0</v>
      </c>
      <c r="F74" s="49">
        <f t="shared" si="18"/>
        <v>148889</v>
      </c>
      <c r="G74" s="13">
        <f t="shared" si="18"/>
        <v>151882</v>
      </c>
      <c r="H74" s="13">
        <f t="shared" si="18"/>
        <v>0</v>
      </c>
      <c r="I74" s="13">
        <f t="shared" si="18"/>
        <v>151882</v>
      </c>
      <c r="X74" s="3">
        <v>1</v>
      </c>
    </row>
    <row r="75" spans="1:24" ht="12" customHeight="1" x14ac:dyDescent="0.55000000000000004">
      <c r="A75" s="14">
        <f>A74</f>
        <v>275</v>
      </c>
      <c r="B75" s="15"/>
      <c r="C75" s="16" t="s">
        <v>4</v>
      </c>
      <c r="D75" s="53">
        <v>148889</v>
      </c>
      <c r="E75" s="50"/>
      <c r="F75" s="50">
        <f>D75+E75</f>
        <v>148889</v>
      </c>
      <c r="G75" s="18">
        <v>151882</v>
      </c>
      <c r="H75" s="18"/>
      <c r="I75" s="18">
        <f>G75+H75</f>
        <v>151882</v>
      </c>
      <c r="X75" s="3">
        <v>2</v>
      </c>
    </row>
    <row r="76" spans="1:24" ht="12" customHeight="1" x14ac:dyDescent="0.55000000000000004">
      <c r="A76" s="14">
        <f>A75</f>
        <v>275</v>
      </c>
      <c r="B76" s="15"/>
      <c r="C76" s="16" t="s">
        <v>5</v>
      </c>
      <c r="D76" s="53">
        <v>0</v>
      </c>
      <c r="E76" s="50"/>
      <c r="F76" s="50">
        <f>D76+E76</f>
        <v>0</v>
      </c>
      <c r="G76" s="18">
        <v>0</v>
      </c>
      <c r="H76" s="18"/>
      <c r="I76" s="18">
        <f>G76+H76</f>
        <v>0</v>
      </c>
      <c r="X76" s="3">
        <v>3</v>
      </c>
    </row>
    <row r="77" spans="1:24" ht="12" customHeight="1" x14ac:dyDescent="0.55000000000000004">
      <c r="A77" s="14">
        <f>A76</f>
        <v>275</v>
      </c>
      <c r="B77" s="15"/>
      <c r="C77" s="19" t="s">
        <v>6</v>
      </c>
      <c r="D77" s="54">
        <v>0</v>
      </c>
      <c r="E77" s="51"/>
      <c r="F77" s="51">
        <f>D77+E77</f>
        <v>0</v>
      </c>
      <c r="G77" s="21">
        <v>0</v>
      </c>
      <c r="H77" s="21"/>
      <c r="I77" s="21">
        <f>G77+H77</f>
        <v>0</v>
      </c>
      <c r="X77" s="3">
        <v>4</v>
      </c>
    </row>
    <row r="78" spans="1:24" ht="12" customHeight="1" x14ac:dyDescent="0.55000000000000004">
      <c r="A78" s="10">
        <v>280</v>
      </c>
      <c r="B78" s="10" t="s">
        <v>2</v>
      </c>
      <c r="C78" s="11" t="s">
        <v>39</v>
      </c>
      <c r="D78" s="49">
        <f t="shared" ref="D78:I78" si="19">SUM(D79:D81)</f>
        <v>400</v>
      </c>
      <c r="E78" s="49">
        <f t="shared" si="19"/>
        <v>0</v>
      </c>
      <c r="F78" s="49">
        <f t="shared" si="19"/>
        <v>400</v>
      </c>
      <c r="G78" s="13">
        <f t="shared" si="19"/>
        <v>400</v>
      </c>
      <c r="H78" s="13">
        <f t="shared" si="19"/>
        <v>0</v>
      </c>
      <c r="I78" s="13">
        <f t="shared" si="19"/>
        <v>400</v>
      </c>
      <c r="X78" s="3">
        <v>1</v>
      </c>
    </row>
    <row r="79" spans="1:24" ht="12" customHeight="1" x14ac:dyDescent="0.55000000000000004">
      <c r="A79" s="14">
        <f>A78</f>
        <v>280</v>
      </c>
      <c r="B79" s="15"/>
      <c r="C79" s="16" t="s">
        <v>4</v>
      </c>
      <c r="D79" s="50">
        <v>400</v>
      </c>
      <c r="E79" s="50"/>
      <c r="F79" s="50">
        <f>D79+E79</f>
        <v>400</v>
      </c>
      <c r="G79" s="18">
        <v>400</v>
      </c>
      <c r="H79" s="18"/>
      <c r="I79" s="18">
        <f>G79+H79</f>
        <v>400</v>
      </c>
      <c r="X79" s="3">
        <v>2</v>
      </c>
    </row>
    <row r="80" spans="1:24" ht="12" customHeight="1" x14ac:dyDescent="0.55000000000000004">
      <c r="A80" s="14">
        <f>A79</f>
        <v>280</v>
      </c>
      <c r="B80" s="15"/>
      <c r="C80" s="16" t="s">
        <v>5</v>
      </c>
      <c r="D80" s="50">
        <v>0</v>
      </c>
      <c r="E80" s="50"/>
      <c r="F80" s="50">
        <f>D80+E80</f>
        <v>0</v>
      </c>
      <c r="G80" s="18">
        <v>0</v>
      </c>
      <c r="H80" s="18"/>
      <c r="I80" s="18">
        <f>G80+H80</f>
        <v>0</v>
      </c>
      <c r="X80" s="3">
        <v>3</v>
      </c>
    </row>
    <row r="81" spans="1:24" ht="12" customHeight="1" x14ac:dyDescent="0.55000000000000004">
      <c r="A81" s="14">
        <f>A80</f>
        <v>280</v>
      </c>
      <c r="B81" s="15"/>
      <c r="C81" s="19" t="s">
        <v>6</v>
      </c>
      <c r="D81" s="51">
        <v>0</v>
      </c>
      <c r="E81" s="51"/>
      <c r="F81" s="51">
        <f>D81+E81</f>
        <v>0</v>
      </c>
      <c r="G81" s="21">
        <v>0</v>
      </c>
      <c r="H81" s="21"/>
      <c r="I81" s="21">
        <f>G81+H81</f>
        <v>0</v>
      </c>
      <c r="X81" s="3">
        <v>4</v>
      </c>
    </row>
    <row r="82" spans="1:24" ht="12" customHeight="1" x14ac:dyDescent="0.55000000000000004">
      <c r="A82" s="10">
        <v>285</v>
      </c>
      <c r="B82" s="10" t="s">
        <v>2</v>
      </c>
      <c r="C82" s="11" t="s">
        <v>40</v>
      </c>
      <c r="D82" s="49">
        <f t="shared" ref="D82:I82" si="20">SUM(D83:D85)</f>
        <v>847.9</v>
      </c>
      <c r="E82" s="49">
        <f t="shared" si="20"/>
        <v>0</v>
      </c>
      <c r="F82" s="49">
        <f t="shared" si="20"/>
        <v>847.9</v>
      </c>
      <c r="G82" s="13">
        <f t="shared" si="20"/>
        <v>847.9</v>
      </c>
      <c r="H82" s="13">
        <f t="shared" si="20"/>
        <v>0</v>
      </c>
      <c r="I82" s="13">
        <f t="shared" si="20"/>
        <v>847.9</v>
      </c>
      <c r="X82" s="3">
        <v>1</v>
      </c>
    </row>
    <row r="83" spans="1:24" ht="12" customHeight="1" x14ac:dyDescent="0.55000000000000004">
      <c r="A83" s="14">
        <f>A82</f>
        <v>285</v>
      </c>
      <c r="B83" s="15"/>
      <c r="C83" s="16" t="s">
        <v>4</v>
      </c>
      <c r="D83" s="50">
        <v>847.9</v>
      </c>
      <c r="E83" s="50"/>
      <c r="F83" s="50">
        <f>D83+E83</f>
        <v>847.9</v>
      </c>
      <c r="G83" s="18">
        <v>847.9</v>
      </c>
      <c r="H83" s="18"/>
      <c r="I83" s="18">
        <f>G83+H83</f>
        <v>847.9</v>
      </c>
      <c r="X83" s="3">
        <v>2</v>
      </c>
    </row>
    <row r="84" spans="1:24" ht="12" customHeight="1" x14ac:dyDescent="0.55000000000000004">
      <c r="A84" s="14">
        <f>A83</f>
        <v>285</v>
      </c>
      <c r="B84" s="15"/>
      <c r="C84" s="16" t="s">
        <v>5</v>
      </c>
      <c r="D84" s="50">
        <v>0</v>
      </c>
      <c r="E84" s="50"/>
      <c r="F84" s="50">
        <f>D84+E84</f>
        <v>0</v>
      </c>
      <c r="G84" s="18">
        <v>0</v>
      </c>
      <c r="H84" s="18"/>
      <c r="I84" s="18">
        <f>G84+H84</f>
        <v>0</v>
      </c>
      <c r="X84" s="3">
        <v>3</v>
      </c>
    </row>
    <row r="85" spans="1:24" ht="12" customHeight="1" x14ac:dyDescent="0.55000000000000004">
      <c r="A85" s="14">
        <f>A84</f>
        <v>285</v>
      </c>
      <c r="B85" s="15"/>
      <c r="C85" s="19" t="s">
        <v>6</v>
      </c>
      <c r="D85" s="51">
        <v>0</v>
      </c>
      <c r="E85" s="51"/>
      <c r="F85" s="51">
        <f>D85+E85</f>
        <v>0</v>
      </c>
      <c r="G85" s="21">
        <v>0</v>
      </c>
      <c r="H85" s="21"/>
      <c r="I85" s="21">
        <f>G85+H85</f>
        <v>0</v>
      </c>
      <c r="X85" s="3">
        <v>4</v>
      </c>
    </row>
    <row r="86" spans="1:24" ht="12" customHeight="1" x14ac:dyDescent="0.55000000000000004">
      <c r="A86" s="10">
        <v>290</v>
      </c>
      <c r="B86" s="10" t="s">
        <v>2</v>
      </c>
      <c r="C86" s="11" t="s">
        <v>41</v>
      </c>
      <c r="D86" s="49">
        <f t="shared" ref="D86:I86" si="21">SUM(D87:D89)</f>
        <v>40690.76</v>
      </c>
      <c r="E86" s="49">
        <f t="shared" si="21"/>
        <v>0</v>
      </c>
      <c r="F86" s="49">
        <f t="shared" si="21"/>
        <v>40690.76</v>
      </c>
      <c r="G86" s="13">
        <f t="shared" si="21"/>
        <v>38275.199999999997</v>
      </c>
      <c r="H86" s="13">
        <f t="shared" si="21"/>
        <v>0</v>
      </c>
      <c r="I86" s="13">
        <f t="shared" si="21"/>
        <v>38275.199999999997</v>
      </c>
      <c r="X86" s="3">
        <v>1</v>
      </c>
    </row>
    <row r="87" spans="1:24" ht="12" customHeight="1" x14ac:dyDescent="0.55000000000000004">
      <c r="A87" s="14">
        <f>A86</f>
        <v>290</v>
      </c>
      <c r="B87" s="15"/>
      <c r="C87" s="16" t="s">
        <v>4</v>
      </c>
      <c r="D87" s="50">
        <v>40690.76</v>
      </c>
      <c r="E87" s="50"/>
      <c r="F87" s="50">
        <f>D87+E87</f>
        <v>40690.76</v>
      </c>
      <c r="G87" s="18">
        <v>38275.199999999997</v>
      </c>
      <c r="H87" s="18"/>
      <c r="I87" s="18">
        <f>G87+H87</f>
        <v>38275.199999999997</v>
      </c>
      <c r="X87" s="3">
        <v>2</v>
      </c>
    </row>
    <row r="88" spans="1:24" ht="12" customHeight="1" x14ac:dyDescent="0.55000000000000004">
      <c r="A88" s="14">
        <f>A87</f>
        <v>290</v>
      </c>
      <c r="B88" s="15"/>
      <c r="C88" s="16" t="s">
        <v>5</v>
      </c>
      <c r="D88" s="50">
        <v>0</v>
      </c>
      <c r="E88" s="50"/>
      <c r="F88" s="50">
        <f>D88+E88</f>
        <v>0</v>
      </c>
      <c r="G88" s="18">
        <v>0</v>
      </c>
      <c r="H88" s="18"/>
      <c r="I88" s="18">
        <f>G88+H88</f>
        <v>0</v>
      </c>
      <c r="X88" s="3">
        <v>3</v>
      </c>
    </row>
    <row r="89" spans="1:24" ht="12" customHeight="1" x14ac:dyDescent="0.55000000000000004">
      <c r="A89" s="14">
        <f>A88</f>
        <v>290</v>
      </c>
      <c r="B89" s="15"/>
      <c r="C89" s="19" t="s">
        <v>6</v>
      </c>
      <c r="D89" s="51">
        <v>0</v>
      </c>
      <c r="E89" s="51"/>
      <c r="F89" s="51">
        <f>D89+E89</f>
        <v>0</v>
      </c>
      <c r="G89" s="21">
        <v>0</v>
      </c>
      <c r="H89" s="21"/>
      <c r="I89" s="21">
        <f>G89+H89</f>
        <v>0</v>
      </c>
      <c r="X89" s="3">
        <v>4</v>
      </c>
    </row>
    <row r="90" spans="1:24" ht="12" customHeight="1" x14ac:dyDescent="0.55000000000000004">
      <c r="A90" s="10">
        <v>295</v>
      </c>
      <c r="B90" s="10" t="s">
        <v>2</v>
      </c>
      <c r="C90" s="11" t="s">
        <v>42</v>
      </c>
      <c r="D90" s="49">
        <f t="shared" ref="D90:I90" si="22">SUM(D91:D93)</f>
        <v>36365.1</v>
      </c>
      <c r="E90" s="49">
        <f t="shared" si="22"/>
        <v>0</v>
      </c>
      <c r="F90" s="49">
        <f t="shared" si="22"/>
        <v>36365.1</v>
      </c>
      <c r="G90" s="13">
        <f t="shared" si="22"/>
        <v>36365.100000000006</v>
      </c>
      <c r="H90" s="13">
        <f t="shared" si="22"/>
        <v>0</v>
      </c>
      <c r="I90" s="13">
        <f t="shared" si="22"/>
        <v>36365.100000000006</v>
      </c>
      <c r="X90" s="3">
        <v>1</v>
      </c>
    </row>
    <row r="91" spans="1:24" ht="12" customHeight="1" x14ac:dyDescent="0.55000000000000004">
      <c r="A91" s="14">
        <f>A90</f>
        <v>295</v>
      </c>
      <c r="B91" s="15"/>
      <c r="C91" s="16" t="s">
        <v>4</v>
      </c>
      <c r="D91" s="50">
        <v>26688.799999999999</v>
      </c>
      <c r="E91" s="50"/>
      <c r="F91" s="50">
        <f>D91+E91</f>
        <v>26688.799999999999</v>
      </c>
      <c r="G91" s="18">
        <v>25046.9</v>
      </c>
      <c r="H91" s="18"/>
      <c r="I91" s="18">
        <f>G91+H91</f>
        <v>25046.9</v>
      </c>
      <c r="X91" s="3">
        <v>2</v>
      </c>
    </row>
    <row r="92" spans="1:24" ht="12" customHeight="1" x14ac:dyDescent="0.55000000000000004">
      <c r="A92" s="14">
        <f>A91</f>
        <v>295</v>
      </c>
      <c r="B92" s="15"/>
      <c r="C92" s="16" t="s">
        <v>5</v>
      </c>
      <c r="D92" s="50">
        <v>9626.2999999999993</v>
      </c>
      <c r="E92" s="50"/>
      <c r="F92" s="50">
        <f>D92+E92</f>
        <v>9626.2999999999993</v>
      </c>
      <c r="G92" s="18">
        <v>11268.2</v>
      </c>
      <c r="H92" s="18"/>
      <c r="I92" s="18">
        <f>G92+H92</f>
        <v>11268.2</v>
      </c>
      <c r="X92" s="3">
        <v>3</v>
      </c>
    </row>
    <row r="93" spans="1:24" ht="12" customHeight="1" x14ac:dyDescent="0.55000000000000004">
      <c r="A93" s="14">
        <f>A92</f>
        <v>295</v>
      </c>
      <c r="B93" s="15"/>
      <c r="C93" s="19" t="s">
        <v>6</v>
      </c>
      <c r="D93" s="51">
        <v>50</v>
      </c>
      <c r="E93" s="51"/>
      <c r="F93" s="51">
        <f>D93+E93</f>
        <v>50</v>
      </c>
      <c r="G93" s="21">
        <v>50</v>
      </c>
      <c r="H93" s="21"/>
      <c r="I93" s="21">
        <f>G93+H93</f>
        <v>50</v>
      </c>
      <c r="X93" s="3">
        <v>4</v>
      </c>
    </row>
    <row r="94" spans="1:24" ht="12" customHeight="1" x14ac:dyDescent="0.55000000000000004">
      <c r="A94" s="10">
        <v>528</v>
      </c>
      <c r="B94" s="10" t="s">
        <v>2</v>
      </c>
      <c r="C94" s="11" t="s">
        <v>43</v>
      </c>
      <c r="D94" s="49">
        <f t="shared" ref="D94:I94" si="23">SUM(D95:D97)</f>
        <v>98056.287000000011</v>
      </c>
      <c r="E94" s="49">
        <f t="shared" si="23"/>
        <v>0</v>
      </c>
      <c r="F94" s="49">
        <f t="shared" si="23"/>
        <v>98056.287000000011</v>
      </c>
      <c r="G94" s="12">
        <f t="shared" si="23"/>
        <v>69925.25</v>
      </c>
      <c r="H94" s="13">
        <f t="shared" si="23"/>
        <v>0</v>
      </c>
      <c r="I94" s="13">
        <f t="shared" si="23"/>
        <v>69925.25</v>
      </c>
      <c r="X94" s="3">
        <v>1</v>
      </c>
    </row>
    <row r="95" spans="1:24" ht="12" customHeight="1" x14ac:dyDescent="0.55000000000000004">
      <c r="A95" s="14">
        <f>A94</f>
        <v>528</v>
      </c>
      <c r="B95" s="15"/>
      <c r="C95" s="16" t="s">
        <v>4</v>
      </c>
      <c r="D95" s="50">
        <v>75196.493000000002</v>
      </c>
      <c r="E95" s="50"/>
      <c r="F95" s="50">
        <f>D95+E95</f>
        <v>75196.493000000002</v>
      </c>
      <c r="G95" s="17">
        <v>53975.25</v>
      </c>
      <c r="H95" s="18"/>
      <c r="I95" s="18">
        <f>G95+H95</f>
        <v>53975.25</v>
      </c>
      <c r="X95" s="3">
        <v>2</v>
      </c>
    </row>
    <row r="96" spans="1:24" ht="12" customHeight="1" x14ac:dyDescent="0.55000000000000004">
      <c r="A96" s="14">
        <f>A95</f>
        <v>528</v>
      </c>
      <c r="B96" s="15"/>
      <c r="C96" s="16" t="s">
        <v>5</v>
      </c>
      <c r="D96" s="50">
        <v>11766.016</v>
      </c>
      <c r="E96" s="50"/>
      <c r="F96" s="50">
        <f>D96+E96</f>
        <v>11766.016</v>
      </c>
      <c r="G96" s="17">
        <v>5950</v>
      </c>
      <c r="H96" s="18"/>
      <c r="I96" s="18">
        <f>G96+H96</f>
        <v>5950</v>
      </c>
      <c r="X96" s="3">
        <v>3</v>
      </c>
    </row>
    <row r="97" spans="1:25" ht="12" customHeight="1" x14ac:dyDescent="0.55000000000000004">
      <c r="A97" s="14">
        <f>A96</f>
        <v>528</v>
      </c>
      <c r="B97" s="15"/>
      <c r="C97" s="19" t="s">
        <v>6</v>
      </c>
      <c r="D97" s="51">
        <v>11093.778</v>
      </c>
      <c r="E97" s="51"/>
      <c r="F97" s="51">
        <f>D97+E97</f>
        <v>11093.778</v>
      </c>
      <c r="G97" s="20">
        <v>10000</v>
      </c>
      <c r="H97" s="21"/>
      <c r="I97" s="21">
        <f>G97+H97</f>
        <v>10000</v>
      </c>
      <c r="X97" s="3">
        <v>4</v>
      </c>
    </row>
    <row r="98" spans="1:25" ht="12" customHeight="1" x14ac:dyDescent="0.55000000000000004">
      <c r="A98" s="10"/>
      <c r="B98" s="10"/>
      <c r="C98" s="22" t="s">
        <v>9</v>
      </c>
      <c r="D98" s="55">
        <f>SUMIF($X$62:$X$97, $Y98,D$62:D$97)</f>
        <v>981975.74700000009</v>
      </c>
      <c r="E98" s="55">
        <f t="shared" ref="E98:F101" si="24">SUMIF($X$62:$X$97, $Y98,E$62:E$97)</f>
        <v>0</v>
      </c>
      <c r="F98" s="55">
        <f t="shared" si="24"/>
        <v>981975.74700000009</v>
      </c>
      <c r="G98" s="23">
        <f>SUMIF($X$62:$X$97, $Y98,G$62:G$97)</f>
        <v>999250.95</v>
      </c>
      <c r="H98" s="23">
        <f t="shared" ref="H98:I101" si="25">SUMIF($X$62:$X$97, $Y98,H$62:H$97)</f>
        <v>0</v>
      </c>
      <c r="I98" s="23">
        <f t="shared" si="25"/>
        <v>999250.95</v>
      </c>
      <c r="Y98" s="3">
        <v>1</v>
      </c>
    </row>
    <row r="99" spans="1:25" ht="12" customHeight="1" x14ac:dyDescent="0.55000000000000004">
      <c r="A99" s="14"/>
      <c r="B99" s="15"/>
      <c r="C99" s="24" t="s">
        <v>4</v>
      </c>
      <c r="D99" s="55">
        <f>SUMIF($X$62:$X$97, $Y99,D$62:D$97)</f>
        <v>862805.75300000014</v>
      </c>
      <c r="E99" s="55">
        <f t="shared" si="24"/>
        <v>0</v>
      </c>
      <c r="F99" s="55">
        <f t="shared" si="24"/>
        <v>862805.75300000014</v>
      </c>
      <c r="G99" s="23">
        <f>SUMIF($X$62:$X$97, $Y99,G$62:G$97)</f>
        <v>877848.85</v>
      </c>
      <c r="H99" s="23">
        <f t="shared" si="25"/>
        <v>0</v>
      </c>
      <c r="I99" s="23">
        <f t="shared" si="25"/>
        <v>877848.85</v>
      </c>
      <c r="Y99" s="3">
        <v>2</v>
      </c>
    </row>
    <row r="100" spans="1:25" ht="12" customHeight="1" x14ac:dyDescent="0.55000000000000004">
      <c r="A100" s="14"/>
      <c r="B100" s="15"/>
      <c r="C100" s="24" t="s">
        <v>5</v>
      </c>
      <c r="D100" s="55">
        <f>SUMIF($X$62:$X$97, $Y100,D$62:D$97)</f>
        <v>98026.216</v>
      </c>
      <c r="E100" s="55">
        <f t="shared" si="24"/>
        <v>0</v>
      </c>
      <c r="F100" s="55">
        <f t="shared" si="24"/>
        <v>98026.216</v>
      </c>
      <c r="G100" s="23">
        <f>SUMIF($X$62:$X$97, $Y100,G$62:G$97)</f>
        <v>94852.099999999991</v>
      </c>
      <c r="H100" s="23">
        <f t="shared" si="25"/>
        <v>0</v>
      </c>
      <c r="I100" s="23">
        <f t="shared" si="25"/>
        <v>94852.099999999991</v>
      </c>
      <c r="Y100" s="3">
        <v>3</v>
      </c>
    </row>
    <row r="101" spans="1:25" ht="12" customHeight="1" x14ac:dyDescent="0.55000000000000004">
      <c r="A101" s="14"/>
      <c r="B101" s="15"/>
      <c r="C101" s="27" t="s">
        <v>6</v>
      </c>
      <c r="D101" s="57">
        <f>SUMIF($X$62:$X$97, $Y101,D$62:D$97)</f>
        <v>21143.777999999998</v>
      </c>
      <c r="E101" s="57">
        <f t="shared" si="24"/>
        <v>0</v>
      </c>
      <c r="F101" s="57">
        <f t="shared" si="24"/>
        <v>21143.777999999998</v>
      </c>
      <c r="G101" s="28">
        <f>SUMIF($X$62:$X$97, $Y101,G$62:G$97)</f>
        <v>26550</v>
      </c>
      <c r="H101" s="28">
        <f t="shared" si="25"/>
        <v>0</v>
      </c>
      <c r="I101" s="28">
        <f t="shared" si="25"/>
        <v>26550</v>
      </c>
      <c r="Y101" s="3">
        <v>4</v>
      </c>
    </row>
    <row r="102" spans="1:25" ht="12" customHeight="1" x14ac:dyDescent="0.55000000000000004">
      <c r="A102" s="25"/>
      <c r="B102" s="25"/>
      <c r="C102" s="25" t="s">
        <v>10</v>
      </c>
      <c r="D102" s="56"/>
      <c r="E102" s="56"/>
      <c r="F102" s="56"/>
      <c r="G102" s="26"/>
      <c r="H102" s="26"/>
      <c r="I102" s="26"/>
    </row>
    <row r="103" spans="1:25" ht="12" customHeight="1" x14ac:dyDescent="0.55000000000000004">
      <c r="A103" s="10">
        <v>310</v>
      </c>
      <c r="B103" s="10" t="s">
        <v>2</v>
      </c>
      <c r="C103" s="11" t="s">
        <v>44</v>
      </c>
      <c r="D103" s="52">
        <f t="shared" ref="D103:I103" si="26">SUM(D104:D106)</f>
        <v>18940</v>
      </c>
      <c r="E103" s="49">
        <f t="shared" si="26"/>
        <v>0</v>
      </c>
      <c r="F103" s="49">
        <f t="shared" si="26"/>
        <v>18940</v>
      </c>
      <c r="G103" s="13">
        <f t="shared" si="26"/>
        <v>23740</v>
      </c>
      <c r="H103" s="13">
        <f t="shared" si="26"/>
        <v>0</v>
      </c>
      <c r="I103" s="13">
        <f t="shared" si="26"/>
        <v>23740</v>
      </c>
      <c r="X103" s="3">
        <v>1</v>
      </c>
    </row>
    <row r="104" spans="1:25" ht="12" customHeight="1" x14ac:dyDescent="0.55000000000000004">
      <c r="A104" s="14">
        <f>A103</f>
        <v>310</v>
      </c>
      <c r="B104" s="15"/>
      <c r="C104" s="16" t="s">
        <v>4</v>
      </c>
      <c r="D104" s="53">
        <v>17940</v>
      </c>
      <c r="E104" s="50"/>
      <c r="F104" s="50">
        <f>D104+E104</f>
        <v>17940</v>
      </c>
      <c r="G104" s="18">
        <v>17940</v>
      </c>
      <c r="H104" s="18"/>
      <c r="I104" s="18">
        <f>G104+H104</f>
        <v>17940</v>
      </c>
      <c r="X104" s="3">
        <v>2</v>
      </c>
    </row>
    <row r="105" spans="1:25" ht="12" customHeight="1" x14ac:dyDescent="0.55000000000000004">
      <c r="A105" s="14">
        <f>A104</f>
        <v>310</v>
      </c>
      <c r="B105" s="15"/>
      <c r="C105" s="16" t="s">
        <v>5</v>
      </c>
      <c r="D105" s="53">
        <v>1000</v>
      </c>
      <c r="E105" s="50"/>
      <c r="F105" s="50">
        <f>D105+E105</f>
        <v>1000</v>
      </c>
      <c r="G105" s="18">
        <v>5800</v>
      </c>
      <c r="H105" s="18"/>
      <c r="I105" s="18">
        <f>G105+H105</f>
        <v>5800</v>
      </c>
      <c r="X105" s="3">
        <v>3</v>
      </c>
    </row>
    <row r="106" spans="1:25" ht="12" customHeight="1" x14ac:dyDescent="0.55000000000000004">
      <c r="A106" s="14">
        <f>A105</f>
        <v>310</v>
      </c>
      <c r="B106" s="15"/>
      <c r="C106" s="19" t="s">
        <v>6</v>
      </c>
      <c r="D106" s="54">
        <v>0</v>
      </c>
      <c r="E106" s="51"/>
      <c r="F106" s="51">
        <f>D106+E106</f>
        <v>0</v>
      </c>
      <c r="G106" s="21">
        <v>0</v>
      </c>
      <c r="H106" s="21"/>
      <c r="I106" s="21">
        <f>G106+H106</f>
        <v>0</v>
      </c>
      <c r="X106" s="3">
        <v>4</v>
      </c>
    </row>
    <row r="107" spans="1:25" ht="12" customHeight="1" x14ac:dyDescent="0.55000000000000004">
      <c r="A107" s="10">
        <v>330</v>
      </c>
      <c r="B107" s="10" t="s">
        <v>2</v>
      </c>
      <c r="C107" s="11" t="s">
        <v>45</v>
      </c>
      <c r="D107" s="52">
        <f t="shared" ref="D107:I107" si="27">SUM(D108:D110)</f>
        <v>3112</v>
      </c>
      <c r="E107" s="49">
        <f t="shared" si="27"/>
        <v>0</v>
      </c>
      <c r="F107" s="49">
        <f t="shared" si="27"/>
        <v>3112</v>
      </c>
      <c r="G107" s="13">
        <f t="shared" si="27"/>
        <v>3517</v>
      </c>
      <c r="H107" s="13">
        <f t="shared" si="27"/>
        <v>0</v>
      </c>
      <c r="I107" s="13">
        <f t="shared" si="27"/>
        <v>3517</v>
      </c>
      <c r="X107" s="3">
        <v>1</v>
      </c>
    </row>
    <row r="108" spans="1:25" ht="12" customHeight="1" x14ac:dyDescent="0.55000000000000004">
      <c r="A108" s="14">
        <f>A107</f>
        <v>330</v>
      </c>
      <c r="B108" s="15"/>
      <c r="C108" s="16" t="s">
        <v>4</v>
      </c>
      <c r="D108" s="53">
        <v>3012</v>
      </c>
      <c r="E108" s="50"/>
      <c r="F108" s="50">
        <f>D108+E108</f>
        <v>3012</v>
      </c>
      <c r="G108" s="18">
        <v>3417</v>
      </c>
      <c r="H108" s="18"/>
      <c r="I108" s="18">
        <f>G108+H108</f>
        <v>3417</v>
      </c>
      <c r="X108" s="3">
        <v>2</v>
      </c>
    </row>
    <row r="109" spans="1:25" ht="12" customHeight="1" x14ac:dyDescent="0.55000000000000004">
      <c r="A109" s="14">
        <f>A108</f>
        <v>330</v>
      </c>
      <c r="B109" s="15"/>
      <c r="C109" s="16" t="s">
        <v>5</v>
      </c>
      <c r="D109" s="53">
        <v>100</v>
      </c>
      <c r="E109" s="50"/>
      <c r="F109" s="50">
        <f>D109+E109</f>
        <v>100</v>
      </c>
      <c r="G109" s="18">
        <v>100</v>
      </c>
      <c r="H109" s="18"/>
      <c r="I109" s="18">
        <f>G109+H109</f>
        <v>100</v>
      </c>
      <c r="X109" s="3">
        <v>3</v>
      </c>
    </row>
    <row r="110" spans="1:25" ht="12" customHeight="1" x14ac:dyDescent="0.55000000000000004">
      <c r="A110" s="14">
        <f>A109</f>
        <v>330</v>
      </c>
      <c r="B110" s="15"/>
      <c r="C110" s="19" t="s">
        <v>6</v>
      </c>
      <c r="D110" s="54">
        <v>0</v>
      </c>
      <c r="E110" s="51"/>
      <c r="F110" s="51">
        <f>D110+E110</f>
        <v>0</v>
      </c>
      <c r="G110" s="21">
        <v>0</v>
      </c>
      <c r="H110" s="21"/>
      <c r="I110" s="21">
        <f>G110+H110</f>
        <v>0</v>
      </c>
      <c r="X110" s="3">
        <v>4</v>
      </c>
    </row>
    <row r="111" spans="1:25" ht="12" customHeight="1" x14ac:dyDescent="0.55000000000000004">
      <c r="A111" s="10">
        <v>340</v>
      </c>
      <c r="B111" s="10" t="s">
        <v>2</v>
      </c>
      <c r="C111" s="11" t="s">
        <v>46</v>
      </c>
      <c r="D111" s="49">
        <f t="shared" ref="D111:I111" si="28">SUM(D112:D114)</f>
        <v>193765</v>
      </c>
      <c r="E111" s="49">
        <f t="shared" si="28"/>
        <v>0</v>
      </c>
      <c r="F111" s="49">
        <f t="shared" si="28"/>
        <v>193765</v>
      </c>
      <c r="G111" s="13">
        <f t="shared" si="28"/>
        <v>194465</v>
      </c>
      <c r="H111" s="13">
        <f t="shared" si="28"/>
        <v>0</v>
      </c>
      <c r="I111" s="13">
        <f t="shared" si="28"/>
        <v>194465</v>
      </c>
      <c r="X111" s="3">
        <v>1</v>
      </c>
    </row>
    <row r="112" spans="1:25" ht="12" customHeight="1" x14ac:dyDescent="0.55000000000000004">
      <c r="A112" s="14">
        <f>A111</f>
        <v>340</v>
      </c>
      <c r="B112" s="15"/>
      <c r="C112" s="16" t="s">
        <v>4</v>
      </c>
      <c r="D112" s="50">
        <v>105350</v>
      </c>
      <c r="E112" s="50"/>
      <c r="F112" s="50">
        <f>D112+E112</f>
        <v>105350</v>
      </c>
      <c r="G112" s="18">
        <v>116050</v>
      </c>
      <c r="H112" s="18"/>
      <c r="I112" s="18">
        <f>G112+H112</f>
        <v>116050</v>
      </c>
      <c r="X112" s="3">
        <v>2</v>
      </c>
    </row>
    <row r="113" spans="1:24" ht="12" customHeight="1" x14ac:dyDescent="0.55000000000000004">
      <c r="A113" s="14">
        <f>A112</f>
        <v>340</v>
      </c>
      <c r="B113" s="15"/>
      <c r="C113" s="16" t="s">
        <v>5</v>
      </c>
      <c r="D113" s="50">
        <v>74915</v>
      </c>
      <c r="E113" s="50"/>
      <c r="F113" s="50">
        <f>D113+E113</f>
        <v>74915</v>
      </c>
      <c r="G113" s="18">
        <v>67415</v>
      </c>
      <c r="H113" s="18"/>
      <c r="I113" s="18">
        <f>G113+H113</f>
        <v>67415</v>
      </c>
      <c r="X113" s="3">
        <v>3</v>
      </c>
    </row>
    <row r="114" spans="1:24" ht="12" customHeight="1" x14ac:dyDescent="0.55000000000000004">
      <c r="A114" s="14">
        <f>A113</f>
        <v>340</v>
      </c>
      <c r="B114" s="15"/>
      <c r="C114" s="19" t="s">
        <v>6</v>
      </c>
      <c r="D114" s="51">
        <v>13500</v>
      </c>
      <c r="E114" s="51"/>
      <c r="F114" s="51">
        <f>D114+E114</f>
        <v>13500</v>
      </c>
      <c r="G114" s="21">
        <v>11000</v>
      </c>
      <c r="H114" s="21"/>
      <c r="I114" s="21">
        <f>G114+H114</f>
        <v>11000</v>
      </c>
      <c r="X114" s="3">
        <v>4</v>
      </c>
    </row>
    <row r="115" spans="1:24" ht="12" customHeight="1" x14ac:dyDescent="0.55000000000000004">
      <c r="A115" s="10">
        <v>350</v>
      </c>
      <c r="B115" s="10" t="s">
        <v>2</v>
      </c>
      <c r="C115" s="11" t="s">
        <v>47</v>
      </c>
      <c r="D115" s="49">
        <f t="shared" ref="D115:I115" si="29">SUM(D116:D118)</f>
        <v>778360.71900000004</v>
      </c>
      <c r="E115" s="49">
        <f t="shared" si="29"/>
        <v>59890.512000000002</v>
      </c>
      <c r="F115" s="49">
        <f t="shared" si="29"/>
        <v>838251.23099999991</v>
      </c>
      <c r="G115" s="13">
        <f t="shared" si="29"/>
        <v>788825.18099999998</v>
      </c>
      <c r="H115" s="13">
        <f t="shared" si="29"/>
        <v>42831.5</v>
      </c>
      <c r="I115" s="13">
        <f t="shared" si="29"/>
        <v>831656.68099999998</v>
      </c>
      <c r="X115" s="3">
        <v>1</v>
      </c>
    </row>
    <row r="116" spans="1:24" ht="12" customHeight="1" x14ac:dyDescent="0.55000000000000004">
      <c r="A116" s="14">
        <f>A115</f>
        <v>350</v>
      </c>
      <c r="B116" s="15"/>
      <c r="C116" s="16" t="s">
        <v>4</v>
      </c>
      <c r="D116" s="50">
        <v>380469.3</v>
      </c>
      <c r="E116" s="50"/>
      <c r="F116" s="50">
        <f>D116+E116</f>
        <v>380469.3</v>
      </c>
      <c r="G116" s="18">
        <v>391815</v>
      </c>
      <c r="H116" s="18"/>
      <c r="I116" s="18">
        <f>G116+H116</f>
        <v>391815</v>
      </c>
      <c r="X116" s="3">
        <v>2</v>
      </c>
    </row>
    <row r="117" spans="1:24" ht="12" customHeight="1" x14ac:dyDescent="0.55000000000000004">
      <c r="A117" s="14">
        <f>A116</f>
        <v>350</v>
      </c>
      <c r="B117" s="15"/>
      <c r="C117" s="16" t="s">
        <v>5</v>
      </c>
      <c r="D117" s="50">
        <v>390391.41899999999</v>
      </c>
      <c r="E117" s="50">
        <v>59890.512000000002</v>
      </c>
      <c r="F117" s="50">
        <f>D117+E117</f>
        <v>450281.93099999998</v>
      </c>
      <c r="G117" s="18">
        <v>389510.18099999998</v>
      </c>
      <c r="H117" s="18">
        <v>42831.5</v>
      </c>
      <c r="I117" s="18">
        <f>G117+H117</f>
        <v>432341.68099999998</v>
      </c>
      <c r="X117" s="3">
        <v>3</v>
      </c>
    </row>
    <row r="118" spans="1:24" ht="12" customHeight="1" x14ac:dyDescent="0.55000000000000004">
      <c r="A118" s="14">
        <f>A117</f>
        <v>350</v>
      </c>
      <c r="B118" s="15"/>
      <c r="C118" s="19" t="s">
        <v>6</v>
      </c>
      <c r="D118" s="51">
        <v>7500</v>
      </c>
      <c r="E118" s="51"/>
      <c r="F118" s="51">
        <f>D118+E118</f>
        <v>7500</v>
      </c>
      <c r="G118" s="21">
        <v>7500</v>
      </c>
      <c r="H118" s="21"/>
      <c r="I118" s="21">
        <f>G118+H118</f>
        <v>7500</v>
      </c>
      <c r="X118" s="3">
        <v>4</v>
      </c>
    </row>
    <row r="119" spans="1:24" ht="12" customHeight="1" x14ac:dyDescent="0.55000000000000004">
      <c r="A119" s="10">
        <v>360</v>
      </c>
      <c r="B119" s="10" t="s">
        <v>2</v>
      </c>
      <c r="C119" s="11" t="s">
        <v>48</v>
      </c>
      <c r="D119" s="52">
        <f t="shared" ref="D119:I119" si="30">SUM(D120:D122)</f>
        <v>195297.95</v>
      </c>
      <c r="E119" s="49">
        <f t="shared" si="30"/>
        <v>22655.554</v>
      </c>
      <c r="F119" s="49">
        <f t="shared" si="30"/>
        <v>217953.50400000002</v>
      </c>
      <c r="G119" s="12">
        <f t="shared" si="30"/>
        <v>199455.2</v>
      </c>
      <c r="H119" s="13">
        <f t="shared" si="30"/>
        <v>31964.899000000001</v>
      </c>
      <c r="I119" s="13">
        <f t="shared" si="30"/>
        <v>231420.09900000002</v>
      </c>
      <c r="X119" s="3">
        <v>1</v>
      </c>
    </row>
    <row r="120" spans="1:24" ht="12" customHeight="1" x14ac:dyDescent="0.55000000000000004">
      <c r="A120" s="14">
        <f>A119</f>
        <v>360</v>
      </c>
      <c r="B120" s="15"/>
      <c r="C120" s="16" t="s">
        <v>4</v>
      </c>
      <c r="D120" s="53">
        <v>76274.850000000006</v>
      </c>
      <c r="E120" s="50"/>
      <c r="F120" s="50">
        <f>D120+E120</f>
        <v>76274.850000000006</v>
      </c>
      <c r="G120" s="17">
        <v>78127.100000000006</v>
      </c>
      <c r="H120" s="18"/>
      <c r="I120" s="18">
        <f>G120+H120</f>
        <v>78127.100000000006</v>
      </c>
      <c r="X120" s="3">
        <v>2</v>
      </c>
    </row>
    <row r="121" spans="1:24" ht="12" customHeight="1" x14ac:dyDescent="0.55000000000000004">
      <c r="A121" s="14">
        <f>A120</f>
        <v>360</v>
      </c>
      <c r="B121" s="15"/>
      <c r="C121" s="16" t="s">
        <v>5</v>
      </c>
      <c r="D121" s="53">
        <v>118533.9</v>
      </c>
      <c r="E121" s="50">
        <v>22655.554</v>
      </c>
      <c r="F121" s="50">
        <f>D121+E121</f>
        <v>141189.454</v>
      </c>
      <c r="G121" s="17">
        <v>120821.1</v>
      </c>
      <c r="H121" s="18">
        <v>31964.899000000001</v>
      </c>
      <c r="I121" s="18">
        <f>G121+H121</f>
        <v>152785.99900000001</v>
      </c>
      <c r="X121" s="3">
        <v>3</v>
      </c>
    </row>
    <row r="122" spans="1:24" ht="12" customHeight="1" x14ac:dyDescent="0.55000000000000004">
      <c r="A122" s="14">
        <f>A121</f>
        <v>360</v>
      </c>
      <c r="B122" s="15"/>
      <c r="C122" s="19" t="s">
        <v>6</v>
      </c>
      <c r="D122" s="54">
        <v>489.2</v>
      </c>
      <c r="E122" s="51"/>
      <c r="F122" s="51">
        <f>D122+E122</f>
        <v>489.2</v>
      </c>
      <c r="G122" s="20">
        <v>507</v>
      </c>
      <c r="H122" s="21"/>
      <c r="I122" s="21">
        <f>G122+H122</f>
        <v>507</v>
      </c>
      <c r="X122" s="3">
        <v>4</v>
      </c>
    </row>
    <row r="123" spans="1:24" ht="12" customHeight="1" x14ac:dyDescent="0.55000000000000004">
      <c r="A123" s="10">
        <v>370</v>
      </c>
      <c r="B123" s="10" t="s">
        <v>2</v>
      </c>
      <c r="C123" s="11" t="s">
        <v>49</v>
      </c>
      <c r="D123" s="52">
        <f t="shared" ref="D123:I123" si="31">SUM(D124:D126)</f>
        <v>3707826.33</v>
      </c>
      <c r="E123" s="49">
        <f t="shared" si="31"/>
        <v>0</v>
      </c>
      <c r="F123" s="49">
        <f t="shared" si="31"/>
        <v>3707826.33</v>
      </c>
      <c r="G123" s="12">
        <f t="shared" si="31"/>
        <v>3791064.11</v>
      </c>
      <c r="H123" s="13">
        <f t="shared" si="31"/>
        <v>0</v>
      </c>
      <c r="I123" s="13">
        <f t="shared" si="31"/>
        <v>3791064.11</v>
      </c>
      <c r="X123" s="3">
        <v>1</v>
      </c>
    </row>
    <row r="124" spans="1:24" ht="12" customHeight="1" x14ac:dyDescent="0.55000000000000004">
      <c r="A124" s="14">
        <f>A123</f>
        <v>370</v>
      </c>
      <c r="B124" s="15"/>
      <c r="C124" s="16" t="s">
        <v>4</v>
      </c>
      <c r="D124" s="53">
        <v>1000</v>
      </c>
      <c r="E124" s="50"/>
      <c r="F124" s="50">
        <f>D124+E124</f>
        <v>1000</v>
      </c>
      <c r="G124" s="17">
        <v>1000</v>
      </c>
      <c r="H124" s="18"/>
      <c r="I124" s="18">
        <f>G124+H124</f>
        <v>1000</v>
      </c>
      <c r="X124" s="3">
        <v>2</v>
      </c>
    </row>
    <row r="125" spans="1:24" ht="12" customHeight="1" x14ac:dyDescent="0.55000000000000004">
      <c r="A125" s="14">
        <f>A124</f>
        <v>370</v>
      </c>
      <c r="B125" s="15"/>
      <c r="C125" s="16" t="s">
        <v>5</v>
      </c>
      <c r="D125" s="53">
        <v>3706826.33</v>
      </c>
      <c r="E125" s="50"/>
      <c r="F125" s="50">
        <f>D125+E125</f>
        <v>3706826.33</v>
      </c>
      <c r="G125" s="17">
        <v>3790064.11</v>
      </c>
      <c r="H125" s="18"/>
      <c r="I125" s="18">
        <f>G125+H125</f>
        <v>3790064.11</v>
      </c>
      <c r="X125" s="3">
        <v>3</v>
      </c>
    </row>
    <row r="126" spans="1:24" ht="12" customHeight="1" x14ac:dyDescent="0.55000000000000004">
      <c r="A126" s="14">
        <f>A125</f>
        <v>370</v>
      </c>
      <c r="B126" s="15"/>
      <c r="C126" s="19" t="s">
        <v>6</v>
      </c>
      <c r="D126" s="54">
        <v>0</v>
      </c>
      <c r="E126" s="51"/>
      <c r="F126" s="51">
        <f>D126+E126</f>
        <v>0</v>
      </c>
      <c r="G126" s="20">
        <v>0</v>
      </c>
      <c r="H126" s="21"/>
      <c r="I126" s="21">
        <f>G126+H126</f>
        <v>0</v>
      </c>
      <c r="X126" s="3">
        <v>4</v>
      </c>
    </row>
    <row r="127" spans="1:24" ht="12" customHeight="1" x14ac:dyDescent="0.55000000000000004">
      <c r="A127" s="10">
        <v>445</v>
      </c>
      <c r="B127" s="10" t="s">
        <v>2</v>
      </c>
      <c r="C127" s="11" t="s">
        <v>50</v>
      </c>
      <c r="D127" s="52">
        <f t="shared" ref="D127:I127" si="32">SUM(D128:D130)</f>
        <v>117100</v>
      </c>
      <c r="E127" s="49">
        <f t="shared" si="32"/>
        <v>0</v>
      </c>
      <c r="F127" s="49">
        <f t="shared" si="32"/>
        <v>117100</v>
      </c>
      <c r="G127" s="13">
        <f t="shared" si="32"/>
        <v>119000</v>
      </c>
      <c r="H127" s="13">
        <f t="shared" si="32"/>
        <v>0</v>
      </c>
      <c r="I127" s="13">
        <f t="shared" si="32"/>
        <v>119000</v>
      </c>
      <c r="X127" s="3">
        <v>1</v>
      </c>
    </row>
    <row r="128" spans="1:24" ht="12" customHeight="1" x14ac:dyDescent="0.55000000000000004">
      <c r="A128" s="14">
        <f>A127</f>
        <v>445</v>
      </c>
      <c r="B128" s="15"/>
      <c r="C128" s="16" t="s">
        <v>4</v>
      </c>
      <c r="D128" s="53">
        <v>0</v>
      </c>
      <c r="E128" s="50"/>
      <c r="F128" s="50">
        <f>D128+E128</f>
        <v>0</v>
      </c>
      <c r="G128" s="18">
        <v>0</v>
      </c>
      <c r="H128" s="18"/>
      <c r="I128" s="18">
        <f>G128+H128</f>
        <v>0</v>
      </c>
      <c r="X128" s="3">
        <v>2</v>
      </c>
    </row>
    <row r="129" spans="1:25" ht="12" customHeight="1" x14ac:dyDescent="0.55000000000000004">
      <c r="A129" s="14">
        <f>A128</f>
        <v>445</v>
      </c>
      <c r="B129" s="15"/>
      <c r="C129" s="16" t="s">
        <v>5</v>
      </c>
      <c r="D129" s="53">
        <v>117100</v>
      </c>
      <c r="E129" s="50"/>
      <c r="F129" s="50">
        <f>D129+E129</f>
        <v>117100</v>
      </c>
      <c r="G129" s="18">
        <v>119000</v>
      </c>
      <c r="H129" s="18"/>
      <c r="I129" s="18">
        <f>G129+H129</f>
        <v>119000</v>
      </c>
      <c r="X129" s="3">
        <v>3</v>
      </c>
    </row>
    <row r="130" spans="1:25" ht="12" customHeight="1" x14ac:dyDescent="0.55000000000000004">
      <c r="A130" s="14">
        <f>A129</f>
        <v>445</v>
      </c>
      <c r="B130" s="15"/>
      <c r="C130" s="19" t="s">
        <v>6</v>
      </c>
      <c r="D130" s="54">
        <v>0</v>
      </c>
      <c r="E130" s="51"/>
      <c r="F130" s="51">
        <f>D130+E130</f>
        <v>0</v>
      </c>
      <c r="G130" s="21">
        <v>0</v>
      </c>
      <c r="H130" s="21"/>
      <c r="I130" s="21">
        <f>G130+H130</f>
        <v>0</v>
      </c>
      <c r="X130" s="3">
        <v>4</v>
      </c>
    </row>
    <row r="131" spans="1:25" ht="12" customHeight="1" x14ac:dyDescent="0.55000000000000004">
      <c r="A131" s="10">
        <v>509</v>
      </c>
      <c r="B131" s="10" t="s">
        <v>2</v>
      </c>
      <c r="C131" s="11" t="s">
        <v>51</v>
      </c>
      <c r="D131" s="52">
        <f t="shared" ref="D131:I131" si="33">SUM(D132:D134)</f>
        <v>11634.599999999999</v>
      </c>
      <c r="E131" s="49">
        <f t="shared" si="33"/>
        <v>0</v>
      </c>
      <c r="F131" s="49">
        <f t="shared" si="33"/>
        <v>11634.599999999999</v>
      </c>
      <c r="G131" s="12">
        <f t="shared" si="33"/>
        <v>12256.9</v>
      </c>
      <c r="H131" s="13">
        <f t="shared" si="33"/>
        <v>0</v>
      </c>
      <c r="I131" s="13">
        <f t="shared" si="33"/>
        <v>12256.9</v>
      </c>
      <c r="X131" s="3">
        <v>1</v>
      </c>
    </row>
    <row r="132" spans="1:25" ht="12" customHeight="1" x14ac:dyDescent="0.55000000000000004">
      <c r="A132" s="14">
        <f>A131</f>
        <v>509</v>
      </c>
      <c r="B132" s="15"/>
      <c r="C132" s="16" t="s">
        <v>4</v>
      </c>
      <c r="D132" s="53">
        <v>10023.799999999999</v>
      </c>
      <c r="E132" s="50"/>
      <c r="F132" s="50">
        <f>D132+E132</f>
        <v>10023.799999999999</v>
      </c>
      <c r="G132" s="17">
        <v>10646.1</v>
      </c>
      <c r="H132" s="18"/>
      <c r="I132" s="18">
        <f>G132+H132</f>
        <v>10646.1</v>
      </c>
      <c r="X132" s="3">
        <v>2</v>
      </c>
    </row>
    <row r="133" spans="1:25" ht="12" customHeight="1" x14ac:dyDescent="0.55000000000000004">
      <c r="A133" s="14">
        <f>A132</f>
        <v>509</v>
      </c>
      <c r="B133" s="15"/>
      <c r="C133" s="16" t="s">
        <v>5</v>
      </c>
      <c r="D133" s="53">
        <v>1610.8</v>
      </c>
      <c r="E133" s="50"/>
      <c r="F133" s="50">
        <f>D133+E133</f>
        <v>1610.8</v>
      </c>
      <c r="G133" s="17">
        <v>1610.8</v>
      </c>
      <c r="H133" s="18"/>
      <c r="I133" s="18">
        <f>G133+H133</f>
        <v>1610.8</v>
      </c>
      <c r="X133" s="3">
        <v>3</v>
      </c>
    </row>
    <row r="134" spans="1:25" ht="12" customHeight="1" x14ac:dyDescent="0.55000000000000004">
      <c r="A134" s="14">
        <f>A133</f>
        <v>509</v>
      </c>
      <c r="B134" s="15"/>
      <c r="C134" s="19" t="s">
        <v>6</v>
      </c>
      <c r="D134" s="54">
        <v>0</v>
      </c>
      <c r="E134" s="51"/>
      <c r="F134" s="51">
        <f>D134+E134</f>
        <v>0</v>
      </c>
      <c r="G134" s="20">
        <v>0</v>
      </c>
      <c r="H134" s="21"/>
      <c r="I134" s="21">
        <f>G134+H134</f>
        <v>0</v>
      </c>
      <c r="X134" s="3">
        <v>4</v>
      </c>
    </row>
    <row r="135" spans="1:25" ht="12" customHeight="1" x14ac:dyDescent="0.55000000000000004">
      <c r="A135" s="10">
        <v>587</v>
      </c>
      <c r="B135" s="10" t="s">
        <v>2</v>
      </c>
      <c r="C135" s="11" t="s">
        <v>52</v>
      </c>
      <c r="D135" s="52">
        <f t="shared" ref="D135:I135" si="34">SUM(D136:D138)</f>
        <v>49384.600000000006</v>
      </c>
      <c r="E135" s="49">
        <f t="shared" si="34"/>
        <v>0</v>
      </c>
      <c r="F135" s="49">
        <f t="shared" si="34"/>
        <v>49384.600000000006</v>
      </c>
      <c r="G135" s="12">
        <f t="shared" si="34"/>
        <v>48368.9</v>
      </c>
      <c r="H135" s="13">
        <f t="shared" si="34"/>
        <v>0</v>
      </c>
      <c r="I135" s="13">
        <f t="shared" si="34"/>
        <v>48368.9</v>
      </c>
      <c r="X135" s="3">
        <v>1</v>
      </c>
    </row>
    <row r="136" spans="1:25" ht="12" customHeight="1" x14ac:dyDescent="0.55000000000000004">
      <c r="A136" s="14">
        <f>A135</f>
        <v>587</v>
      </c>
      <c r="B136" s="15"/>
      <c r="C136" s="16" t="s">
        <v>4</v>
      </c>
      <c r="D136" s="53">
        <v>30334.9</v>
      </c>
      <c r="E136" s="50"/>
      <c r="F136" s="50">
        <f>D136+E136</f>
        <v>30334.9</v>
      </c>
      <c r="G136" s="17">
        <v>32196.799999999999</v>
      </c>
      <c r="H136" s="18"/>
      <c r="I136" s="18">
        <f>G136+H136</f>
        <v>32196.799999999999</v>
      </c>
      <c r="X136" s="3">
        <v>2</v>
      </c>
    </row>
    <row r="137" spans="1:25" ht="12" customHeight="1" x14ac:dyDescent="0.55000000000000004">
      <c r="A137" s="14">
        <f>A136</f>
        <v>587</v>
      </c>
      <c r="B137" s="15"/>
      <c r="C137" s="16" t="s">
        <v>5</v>
      </c>
      <c r="D137" s="53">
        <v>19049.7</v>
      </c>
      <c r="E137" s="50"/>
      <c r="F137" s="50">
        <f>D137+E137</f>
        <v>19049.7</v>
      </c>
      <c r="G137" s="17">
        <v>15172.1</v>
      </c>
      <c r="H137" s="18"/>
      <c r="I137" s="18">
        <f>G137+H137</f>
        <v>15172.1</v>
      </c>
      <c r="X137" s="3">
        <v>3</v>
      </c>
    </row>
    <row r="138" spans="1:25" ht="12" customHeight="1" x14ac:dyDescent="0.55000000000000004">
      <c r="A138" s="14">
        <f>A137</f>
        <v>587</v>
      </c>
      <c r="B138" s="15"/>
      <c r="C138" s="19" t="s">
        <v>6</v>
      </c>
      <c r="D138" s="54">
        <v>0</v>
      </c>
      <c r="E138" s="51"/>
      <c r="F138" s="51">
        <f>D138+E138</f>
        <v>0</v>
      </c>
      <c r="G138" s="20">
        <v>1000</v>
      </c>
      <c r="H138" s="21"/>
      <c r="I138" s="21">
        <f>G138+H138</f>
        <v>1000</v>
      </c>
      <c r="X138" s="3">
        <v>4</v>
      </c>
    </row>
    <row r="139" spans="1:25" ht="12" customHeight="1" x14ac:dyDescent="0.55000000000000004">
      <c r="A139" s="10"/>
      <c r="B139" s="10"/>
      <c r="C139" s="22" t="s">
        <v>11</v>
      </c>
      <c r="D139" s="55">
        <f>SUMIF($X$103:$X$138, $Y139,D$103:D$138)</f>
        <v>5075421.1989999991</v>
      </c>
      <c r="E139" s="55">
        <f t="shared" ref="E139:F142" si="35">SUMIF($X$103:$X$138, $Y139,E$103:E$138)</f>
        <v>82546.066000000006</v>
      </c>
      <c r="F139" s="55">
        <f t="shared" si="35"/>
        <v>5157967.2649999987</v>
      </c>
      <c r="G139" s="23">
        <f>SUMIF($X$103:$X$138, $Y139,G$103:G$138)</f>
        <v>5180692.2910000011</v>
      </c>
      <c r="H139" s="23">
        <f t="shared" ref="H139:I142" si="36">SUMIF($X$103:$X$138, $Y139,H$103:H$138)</f>
        <v>74796.399000000005</v>
      </c>
      <c r="I139" s="23">
        <f t="shared" si="36"/>
        <v>5255488.6900000004</v>
      </c>
      <c r="Y139" s="3">
        <v>1</v>
      </c>
    </row>
    <row r="140" spans="1:25" ht="12" customHeight="1" x14ac:dyDescent="0.55000000000000004">
      <c r="A140" s="14"/>
      <c r="B140" s="15"/>
      <c r="C140" s="24" t="s">
        <v>4</v>
      </c>
      <c r="D140" s="55">
        <f>SUMIF($X$103:$X$138, $Y140,D$103:D$138)</f>
        <v>624404.85000000009</v>
      </c>
      <c r="E140" s="55">
        <f t="shared" si="35"/>
        <v>0</v>
      </c>
      <c r="F140" s="55">
        <f t="shared" si="35"/>
        <v>624404.85000000009</v>
      </c>
      <c r="G140" s="23">
        <f>SUMIF($X$103:$X$138, $Y140,G$103:G$138)</f>
        <v>651192</v>
      </c>
      <c r="H140" s="23">
        <f t="shared" si="36"/>
        <v>0</v>
      </c>
      <c r="I140" s="23">
        <f t="shared" si="36"/>
        <v>651192</v>
      </c>
      <c r="Y140" s="3">
        <v>2</v>
      </c>
    </row>
    <row r="141" spans="1:25" ht="12" customHeight="1" x14ac:dyDescent="0.55000000000000004">
      <c r="A141" s="14"/>
      <c r="B141" s="15"/>
      <c r="C141" s="24" t="s">
        <v>5</v>
      </c>
      <c r="D141" s="55">
        <f>SUMIF($X$103:$X$138, $Y141,D$103:D$138)</f>
        <v>4429527.1490000002</v>
      </c>
      <c r="E141" s="55">
        <f t="shared" si="35"/>
        <v>82546.066000000006</v>
      </c>
      <c r="F141" s="55">
        <f t="shared" si="35"/>
        <v>4512073.2149999999</v>
      </c>
      <c r="G141" s="23">
        <f>SUMIF($X$103:$X$138, $Y141,G$103:G$138)</f>
        <v>4509493.2909999993</v>
      </c>
      <c r="H141" s="23">
        <f t="shared" si="36"/>
        <v>74796.399000000005</v>
      </c>
      <c r="I141" s="23">
        <f t="shared" si="36"/>
        <v>4584289.6899999995</v>
      </c>
      <c r="Y141" s="3">
        <v>3</v>
      </c>
    </row>
    <row r="142" spans="1:25" ht="12" customHeight="1" x14ac:dyDescent="0.55000000000000004">
      <c r="A142" s="14"/>
      <c r="B142" s="15"/>
      <c r="C142" s="27" t="s">
        <v>6</v>
      </c>
      <c r="D142" s="57">
        <f>SUMIF($X$103:$X$138, $Y142,D$103:D$138)</f>
        <v>21489.200000000001</v>
      </c>
      <c r="E142" s="57">
        <f t="shared" si="35"/>
        <v>0</v>
      </c>
      <c r="F142" s="57">
        <f t="shared" si="35"/>
        <v>21489.200000000001</v>
      </c>
      <c r="G142" s="28">
        <f>SUMIF($X$103:$X$138, $Y142,G$103:G$138)</f>
        <v>20007</v>
      </c>
      <c r="H142" s="28">
        <f t="shared" si="36"/>
        <v>0</v>
      </c>
      <c r="I142" s="28">
        <f t="shared" si="36"/>
        <v>20007</v>
      </c>
      <c r="Y142" s="3">
        <v>4</v>
      </c>
    </row>
    <row r="143" spans="1:25" ht="12" customHeight="1" x14ac:dyDescent="0.55000000000000004">
      <c r="A143" s="25"/>
      <c r="B143" s="25"/>
      <c r="C143" s="25" t="s">
        <v>12</v>
      </c>
      <c r="D143" s="56"/>
      <c r="E143" s="56"/>
      <c r="F143" s="56"/>
      <c r="G143" s="26"/>
      <c r="H143" s="26"/>
      <c r="I143" s="26"/>
    </row>
    <row r="144" spans="1:25" ht="12" customHeight="1" x14ac:dyDescent="0.55000000000000004">
      <c r="A144" s="10">
        <v>402</v>
      </c>
      <c r="B144" s="10" t="s">
        <v>2</v>
      </c>
      <c r="C144" s="11" t="s">
        <v>53</v>
      </c>
      <c r="D144" s="52">
        <f t="shared" ref="D144:I144" si="37">SUM(D145:D147)</f>
        <v>1860422.605</v>
      </c>
      <c r="E144" s="49">
        <f t="shared" si="37"/>
        <v>0</v>
      </c>
      <c r="F144" s="49">
        <f t="shared" si="37"/>
        <v>1860422.605</v>
      </c>
      <c r="G144" s="12">
        <f t="shared" si="37"/>
        <v>2050729.436</v>
      </c>
      <c r="H144" s="13">
        <f t="shared" si="37"/>
        <v>0</v>
      </c>
      <c r="I144" s="13">
        <f t="shared" si="37"/>
        <v>2050729.436</v>
      </c>
      <c r="X144" s="3">
        <v>1</v>
      </c>
    </row>
    <row r="145" spans="1:24" ht="12" customHeight="1" x14ac:dyDescent="0.55000000000000004">
      <c r="A145" s="14">
        <f>A144</f>
        <v>402</v>
      </c>
      <c r="B145" s="15"/>
      <c r="C145" s="16" t="s">
        <v>4</v>
      </c>
      <c r="D145" s="53">
        <v>1659682.2050000001</v>
      </c>
      <c r="E145" s="50"/>
      <c r="F145" s="50">
        <f>D145+E145</f>
        <v>1659682.2050000001</v>
      </c>
      <c r="G145" s="18">
        <v>1824566.8359999999</v>
      </c>
      <c r="H145" s="18"/>
      <c r="I145" s="18">
        <f>G145+H145</f>
        <v>1824566.8359999999</v>
      </c>
      <c r="X145" s="3">
        <v>2</v>
      </c>
    </row>
    <row r="146" spans="1:24" ht="12" customHeight="1" x14ac:dyDescent="0.55000000000000004">
      <c r="A146" s="14">
        <f>A145</f>
        <v>402</v>
      </c>
      <c r="B146" s="15"/>
      <c r="C146" s="16" t="s">
        <v>5</v>
      </c>
      <c r="D146" s="53">
        <v>7745</v>
      </c>
      <c r="E146" s="50"/>
      <c r="F146" s="50">
        <f>D146+E146</f>
        <v>7745</v>
      </c>
      <c r="G146" s="17">
        <v>13373.8</v>
      </c>
      <c r="H146" s="18"/>
      <c r="I146" s="18">
        <f>G146+H146</f>
        <v>13373.8</v>
      </c>
      <c r="X146" s="3">
        <v>3</v>
      </c>
    </row>
    <row r="147" spans="1:24" ht="12" customHeight="1" x14ac:dyDescent="0.55000000000000004">
      <c r="A147" s="14">
        <f>A146</f>
        <v>402</v>
      </c>
      <c r="B147" s="15"/>
      <c r="C147" s="19" t="s">
        <v>6</v>
      </c>
      <c r="D147" s="54">
        <v>192995.4</v>
      </c>
      <c r="E147" s="51"/>
      <c r="F147" s="51">
        <f>D147+E147</f>
        <v>192995.4</v>
      </c>
      <c r="G147" s="20">
        <v>212788.8</v>
      </c>
      <c r="H147" s="21"/>
      <c r="I147" s="21">
        <f>G147+H147</f>
        <v>212788.8</v>
      </c>
      <c r="X147" s="3">
        <v>4</v>
      </c>
    </row>
    <row r="148" spans="1:24" ht="12" customHeight="1" x14ac:dyDescent="0.55000000000000004">
      <c r="A148" s="10">
        <v>406</v>
      </c>
      <c r="B148" s="10" t="s">
        <v>2</v>
      </c>
      <c r="C148" s="11" t="s">
        <v>54</v>
      </c>
      <c r="D148" s="49">
        <f t="shared" ref="D148:I148" si="38">SUM(D149:D151)</f>
        <v>199604.8</v>
      </c>
      <c r="E148" s="49">
        <f t="shared" si="38"/>
        <v>0</v>
      </c>
      <c r="F148" s="49">
        <f t="shared" si="38"/>
        <v>199604.8</v>
      </c>
      <c r="G148" s="12">
        <f t="shared" si="38"/>
        <v>257899</v>
      </c>
      <c r="H148" s="13">
        <f t="shared" si="38"/>
        <v>0</v>
      </c>
      <c r="I148" s="13">
        <f t="shared" si="38"/>
        <v>257899</v>
      </c>
      <c r="X148" s="3">
        <v>1</v>
      </c>
    </row>
    <row r="149" spans="1:24" ht="12" customHeight="1" x14ac:dyDescent="0.55000000000000004">
      <c r="A149" s="14">
        <f>A148</f>
        <v>406</v>
      </c>
      <c r="B149" s="15"/>
      <c r="C149" s="16" t="s">
        <v>4</v>
      </c>
      <c r="D149" s="50">
        <v>39820.300000000003</v>
      </c>
      <c r="E149" s="50"/>
      <c r="F149" s="50">
        <f>D149+E149</f>
        <v>39820.300000000003</v>
      </c>
      <c r="G149" s="17">
        <v>42990</v>
      </c>
      <c r="H149" s="18"/>
      <c r="I149" s="18">
        <f>G149+H149</f>
        <v>42990</v>
      </c>
      <c r="X149" s="3">
        <v>2</v>
      </c>
    </row>
    <row r="150" spans="1:24" ht="12" customHeight="1" x14ac:dyDescent="0.55000000000000004">
      <c r="A150" s="14">
        <f>A149</f>
        <v>406</v>
      </c>
      <c r="B150" s="15"/>
      <c r="C150" s="16" t="s">
        <v>5</v>
      </c>
      <c r="D150" s="50">
        <v>106934</v>
      </c>
      <c r="E150" s="50"/>
      <c r="F150" s="50">
        <f>D150+E150</f>
        <v>106934</v>
      </c>
      <c r="G150" s="17">
        <v>115383.7</v>
      </c>
      <c r="H150" s="18"/>
      <c r="I150" s="18">
        <f>G150+H150</f>
        <v>115383.7</v>
      </c>
      <c r="X150" s="3">
        <v>3</v>
      </c>
    </row>
    <row r="151" spans="1:24" ht="12" customHeight="1" x14ac:dyDescent="0.55000000000000004">
      <c r="A151" s="14">
        <f>A150</f>
        <v>406</v>
      </c>
      <c r="B151" s="15"/>
      <c r="C151" s="19" t="s">
        <v>6</v>
      </c>
      <c r="D151" s="51">
        <v>52850.5</v>
      </c>
      <c r="E151" s="51"/>
      <c r="F151" s="51">
        <f>D151+E151</f>
        <v>52850.5</v>
      </c>
      <c r="G151" s="20">
        <v>99525.3</v>
      </c>
      <c r="H151" s="21"/>
      <c r="I151" s="21">
        <f>G151+H151</f>
        <v>99525.3</v>
      </c>
      <c r="X151" s="3">
        <v>4</v>
      </c>
    </row>
    <row r="152" spans="1:24" ht="12" customHeight="1" x14ac:dyDescent="0.55000000000000004">
      <c r="A152" s="10">
        <v>416</v>
      </c>
      <c r="B152" s="10" t="s">
        <v>2</v>
      </c>
      <c r="C152" s="11" t="s">
        <v>55</v>
      </c>
      <c r="D152" s="49">
        <f t="shared" ref="D152:I152" si="39">SUM(D153:D155)</f>
        <v>7687395.5999999996</v>
      </c>
      <c r="E152" s="49">
        <f t="shared" si="39"/>
        <v>0</v>
      </c>
      <c r="F152" s="49">
        <f t="shared" si="39"/>
        <v>7687395.5999999996</v>
      </c>
      <c r="G152" s="13">
        <f t="shared" si="39"/>
        <v>8052245.1999999993</v>
      </c>
      <c r="H152" s="13">
        <f t="shared" si="39"/>
        <v>300000</v>
      </c>
      <c r="I152" s="13">
        <f t="shared" si="39"/>
        <v>8352245.1999999993</v>
      </c>
      <c r="X152" s="3">
        <v>1</v>
      </c>
    </row>
    <row r="153" spans="1:24" ht="12" customHeight="1" x14ac:dyDescent="0.55000000000000004">
      <c r="A153" s="14">
        <f>A152</f>
        <v>416</v>
      </c>
      <c r="B153" s="15"/>
      <c r="C153" s="16" t="s">
        <v>4</v>
      </c>
      <c r="D153" s="50">
        <v>2407729</v>
      </c>
      <c r="E153" s="50"/>
      <c r="F153" s="50">
        <f>D153+E153</f>
        <v>2407729</v>
      </c>
      <c r="G153" s="18">
        <v>2608680.1</v>
      </c>
      <c r="H153" s="18"/>
      <c r="I153" s="18">
        <f>G153+H153</f>
        <v>2608680.1</v>
      </c>
      <c r="X153" s="3">
        <v>2</v>
      </c>
    </row>
    <row r="154" spans="1:24" ht="12" customHeight="1" x14ac:dyDescent="0.55000000000000004">
      <c r="A154" s="14">
        <f>A153</f>
        <v>416</v>
      </c>
      <c r="B154" s="15"/>
      <c r="C154" s="16" t="s">
        <v>5</v>
      </c>
      <c r="D154" s="50">
        <v>5279666.5999999996</v>
      </c>
      <c r="E154" s="50"/>
      <c r="F154" s="50">
        <f>D154+E154</f>
        <v>5279666.5999999996</v>
      </c>
      <c r="G154" s="18">
        <v>5443565.0999999996</v>
      </c>
      <c r="H154" s="18">
        <v>300000</v>
      </c>
      <c r="I154" s="18">
        <f>G154+H154</f>
        <v>5743565.0999999996</v>
      </c>
      <c r="X154" s="3">
        <v>3</v>
      </c>
    </row>
    <row r="155" spans="1:24" ht="12" customHeight="1" x14ac:dyDescent="0.55000000000000004">
      <c r="A155" s="14">
        <f>A154</f>
        <v>416</v>
      </c>
      <c r="B155" s="15"/>
      <c r="C155" s="19" t="s">
        <v>6</v>
      </c>
      <c r="D155" s="51">
        <v>0</v>
      </c>
      <c r="E155" s="51"/>
      <c r="F155" s="51">
        <f>D155+E155</f>
        <v>0</v>
      </c>
      <c r="G155" s="21">
        <v>0</v>
      </c>
      <c r="H155" s="21"/>
      <c r="I155" s="21">
        <f>G155+H155</f>
        <v>0</v>
      </c>
      <c r="X155" s="3">
        <v>4</v>
      </c>
    </row>
    <row r="156" spans="1:24" ht="12" customHeight="1" x14ac:dyDescent="0.55000000000000004">
      <c r="A156" s="10">
        <v>418</v>
      </c>
      <c r="B156" s="10" t="s">
        <v>2</v>
      </c>
      <c r="C156" s="11" t="s">
        <v>56</v>
      </c>
      <c r="D156" s="49">
        <f t="shared" ref="D156:I156" si="40">SUM(D157:D159)</f>
        <v>2360743.6770000001</v>
      </c>
      <c r="E156" s="49">
        <f t="shared" si="40"/>
        <v>0</v>
      </c>
      <c r="F156" s="49">
        <f t="shared" si="40"/>
        <v>2360743.6770000001</v>
      </c>
      <c r="G156" s="13">
        <f t="shared" si="40"/>
        <v>2456493.5</v>
      </c>
      <c r="H156" s="13">
        <f t="shared" si="40"/>
        <v>0</v>
      </c>
      <c r="I156" s="13">
        <f t="shared" si="40"/>
        <v>2456493.5</v>
      </c>
      <c r="X156" s="3">
        <v>1</v>
      </c>
    </row>
    <row r="157" spans="1:24" ht="12" customHeight="1" x14ac:dyDescent="0.55000000000000004">
      <c r="A157" s="14">
        <f>A156</f>
        <v>418</v>
      </c>
      <c r="B157" s="15"/>
      <c r="C157" s="16" t="s">
        <v>4</v>
      </c>
      <c r="D157" s="50">
        <v>1478005.733</v>
      </c>
      <c r="E157" s="50"/>
      <c r="F157" s="50">
        <f>D157+E157</f>
        <v>1478005.733</v>
      </c>
      <c r="G157" s="18">
        <v>1594108</v>
      </c>
      <c r="H157" s="18"/>
      <c r="I157" s="18">
        <f>G157+H157</f>
        <v>1594108</v>
      </c>
      <c r="X157" s="3">
        <v>2</v>
      </c>
    </row>
    <row r="158" spans="1:24" ht="12" customHeight="1" x14ac:dyDescent="0.55000000000000004">
      <c r="A158" s="14">
        <f>A157</f>
        <v>418</v>
      </c>
      <c r="B158" s="15"/>
      <c r="C158" s="16" t="s">
        <v>5</v>
      </c>
      <c r="D158" s="50">
        <v>866456.1</v>
      </c>
      <c r="E158" s="50"/>
      <c r="F158" s="50">
        <f>D158+E158</f>
        <v>866456.1</v>
      </c>
      <c r="G158" s="18">
        <v>846568.9</v>
      </c>
      <c r="H158" s="18"/>
      <c r="I158" s="18">
        <f>G158+H158</f>
        <v>846568.9</v>
      </c>
      <c r="X158" s="3">
        <v>3</v>
      </c>
    </row>
    <row r="159" spans="1:24" ht="12" customHeight="1" x14ac:dyDescent="0.55000000000000004">
      <c r="A159" s="14">
        <f>A158</f>
        <v>418</v>
      </c>
      <c r="B159" s="15"/>
      <c r="C159" s="19" t="s">
        <v>6</v>
      </c>
      <c r="D159" s="51">
        <v>16281.843999999999</v>
      </c>
      <c r="E159" s="51"/>
      <c r="F159" s="51">
        <f>D159+E159</f>
        <v>16281.843999999999</v>
      </c>
      <c r="G159" s="21">
        <v>15816.6</v>
      </c>
      <c r="H159" s="21"/>
      <c r="I159" s="21">
        <f>G159+H159</f>
        <v>15816.6</v>
      </c>
      <c r="X159" s="3">
        <v>4</v>
      </c>
    </row>
    <row r="160" spans="1:24" ht="12" customHeight="1" x14ac:dyDescent="0.55000000000000004">
      <c r="A160" s="10">
        <v>420</v>
      </c>
      <c r="B160" s="10" t="s">
        <v>2</v>
      </c>
      <c r="C160" s="11" t="s">
        <v>57</v>
      </c>
      <c r="D160" s="52">
        <f t="shared" ref="D160:I160" si="41">SUM(D161:D163)</f>
        <v>4399439.2779999999</v>
      </c>
      <c r="E160" s="49">
        <f t="shared" si="41"/>
        <v>6877465.3709999993</v>
      </c>
      <c r="F160" s="49">
        <f t="shared" si="41"/>
        <v>11276904.649</v>
      </c>
      <c r="G160" s="13">
        <f t="shared" si="41"/>
        <v>4804358.9790000003</v>
      </c>
      <c r="H160" s="13">
        <f t="shared" si="41"/>
        <v>7097365.9809999997</v>
      </c>
      <c r="I160" s="13">
        <f t="shared" si="41"/>
        <v>11901724.959999999</v>
      </c>
      <c r="X160" s="3">
        <v>1</v>
      </c>
    </row>
    <row r="161" spans="1:24" ht="12" customHeight="1" x14ac:dyDescent="0.55000000000000004">
      <c r="A161" s="14">
        <f>A160</f>
        <v>420</v>
      </c>
      <c r="B161" s="15"/>
      <c r="C161" s="16" t="s">
        <v>4</v>
      </c>
      <c r="D161" s="53">
        <v>324264.34700000001</v>
      </c>
      <c r="E161" s="50"/>
      <c r="F161" s="50">
        <f>D161+E161</f>
        <v>324264.34700000001</v>
      </c>
      <c r="G161" s="17">
        <v>173613.87299999999</v>
      </c>
      <c r="H161" s="18"/>
      <c r="I161" s="18">
        <f>G161+H161</f>
        <v>173613.87299999999</v>
      </c>
      <c r="X161" s="3">
        <v>2</v>
      </c>
    </row>
    <row r="162" spans="1:24" ht="12" customHeight="1" x14ac:dyDescent="0.55000000000000004">
      <c r="A162" s="14">
        <f>A161</f>
        <v>420</v>
      </c>
      <c r="B162" s="15"/>
      <c r="C162" s="16" t="s">
        <v>5</v>
      </c>
      <c r="D162" s="53">
        <v>2047312.7009999999</v>
      </c>
      <c r="E162" s="50">
        <v>5975613.1739999996</v>
      </c>
      <c r="F162" s="50">
        <f>D162+E162</f>
        <v>8022925.875</v>
      </c>
      <c r="G162" s="17">
        <v>2158506.966</v>
      </c>
      <c r="H162" s="18">
        <v>6307569.8459999999</v>
      </c>
      <c r="I162" s="18">
        <f>G162+H162</f>
        <v>8466076.811999999</v>
      </c>
      <c r="X162" s="3">
        <v>3</v>
      </c>
    </row>
    <row r="163" spans="1:24" ht="12" customHeight="1" x14ac:dyDescent="0.55000000000000004">
      <c r="A163" s="14">
        <f>A162</f>
        <v>420</v>
      </c>
      <c r="B163" s="15"/>
      <c r="C163" s="19" t="s">
        <v>6</v>
      </c>
      <c r="D163" s="54">
        <v>2027862.23</v>
      </c>
      <c r="E163" s="51">
        <v>901852.19700000004</v>
      </c>
      <c r="F163" s="51">
        <f>D163+E163</f>
        <v>2929714.4270000001</v>
      </c>
      <c r="G163" s="20">
        <v>2472238.14</v>
      </c>
      <c r="H163" s="21">
        <v>789796.13500000001</v>
      </c>
      <c r="I163" s="21">
        <f>G163+H163</f>
        <v>3262034.2750000004</v>
      </c>
      <c r="X163" s="3">
        <v>4</v>
      </c>
    </row>
    <row r="164" spans="1:24" ht="12" customHeight="1" x14ac:dyDescent="0.55000000000000004">
      <c r="A164" s="10">
        <v>422</v>
      </c>
      <c r="B164" s="10" t="s">
        <v>2</v>
      </c>
      <c r="C164" s="11" t="s">
        <v>58</v>
      </c>
      <c r="D164" s="52">
        <f t="shared" ref="D164:I164" si="42">SUM(D165:D167)</f>
        <v>686165.74799999991</v>
      </c>
      <c r="E164" s="49">
        <f t="shared" si="42"/>
        <v>1308521.3319999999</v>
      </c>
      <c r="F164" s="49">
        <f t="shared" si="42"/>
        <v>1994687.08</v>
      </c>
      <c r="G164" s="12">
        <f t="shared" si="42"/>
        <v>631164.93900000001</v>
      </c>
      <c r="H164" s="13">
        <f t="shared" si="42"/>
        <v>1122419.33</v>
      </c>
      <c r="I164" s="13">
        <f t="shared" si="42"/>
        <v>1753584.2690000003</v>
      </c>
      <c r="X164" s="3">
        <v>1</v>
      </c>
    </row>
    <row r="165" spans="1:24" ht="12" customHeight="1" x14ac:dyDescent="0.55000000000000004">
      <c r="A165" s="14">
        <f>A164</f>
        <v>422</v>
      </c>
      <c r="B165" s="15"/>
      <c r="C165" s="16" t="s">
        <v>4</v>
      </c>
      <c r="D165" s="53">
        <v>97284.065000000002</v>
      </c>
      <c r="E165" s="50"/>
      <c r="F165" s="50">
        <f>D165+E165</f>
        <v>97284.065000000002</v>
      </c>
      <c r="G165" s="17">
        <v>102661.333</v>
      </c>
      <c r="H165" s="18"/>
      <c r="I165" s="18">
        <f>G165+H165</f>
        <v>102661.333</v>
      </c>
      <c r="X165" s="3">
        <v>2</v>
      </c>
    </row>
    <row r="166" spans="1:24" ht="12" customHeight="1" x14ac:dyDescent="0.55000000000000004">
      <c r="A166" s="14">
        <f>A165</f>
        <v>422</v>
      </c>
      <c r="B166" s="15"/>
      <c r="C166" s="16" t="s">
        <v>5</v>
      </c>
      <c r="D166" s="53">
        <v>451196.25699999998</v>
      </c>
      <c r="E166" s="50">
        <v>1013350.827</v>
      </c>
      <c r="F166" s="50">
        <f>D166+E166</f>
        <v>1464547.084</v>
      </c>
      <c r="G166" s="17">
        <v>414318.10600000003</v>
      </c>
      <c r="H166" s="18">
        <v>934562.71900000004</v>
      </c>
      <c r="I166" s="18">
        <f>G166+H166</f>
        <v>1348880.8250000002</v>
      </c>
      <c r="X166" s="3">
        <v>3</v>
      </c>
    </row>
    <row r="167" spans="1:24" ht="12" customHeight="1" x14ac:dyDescent="0.55000000000000004">
      <c r="A167" s="14">
        <f>A166</f>
        <v>422</v>
      </c>
      <c r="B167" s="15"/>
      <c r="C167" s="19" t="s">
        <v>6</v>
      </c>
      <c r="D167" s="54">
        <v>137685.42600000001</v>
      </c>
      <c r="E167" s="51">
        <v>295170.505</v>
      </c>
      <c r="F167" s="51">
        <f>D167+E167</f>
        <v>432855.93099999998</v>
      </c>
      <c r="G167" s="20">
        <v>114185.5</v>
      </c>
      <c r="H167" s="21">
        <v>187856.611</v>
      </c>
      <c r="I167" s="21">
        <f>G167+H167</f>
        <v>302042.11100000003</v>
      </c>
      <c r="X167" s="3">
        <v>4</v>
      </c>
    </row>
    <row r="168" spans="1:24" ht="12" customHeight="1" x14ac:dyDescent="0.55000000000000004">
      <c r="A168" s="10">
        <v>425</v>
      </c>
      <c r="B168" s="10" t="s">
        <v>2</v>
      </c>
      <c r="C168" s="11" t="s">
        <v>59</v>
      </c>
      <c r="D168" s="52">
        <f t="shared" ref="D168:I168" si="43">SUM(D169:D171)</f>
        <v>151407.6</v>
      </c>
      <c r="E168" s="49">
        <f t="shared" si="43"/>
        <v>0</v>
      </c>
      <c r="F168" s="49">
        <f t="shared" si="43"/>
        <v>151407.6</v>
      </c>
      <c r="G168" s="13">
        <f t="shared" si="43"/>
        <v>170842.22099999999</v>
      </c>
      <c r="H168" s="13">
        <f t="shared" si="43"/>
        <v>0</v>
      </c>
      <c r="I168" s="13">
        <f t="shared" si="43"/>
        <v>170842.22099999999</v>
      </c>
      <c r="X168" s="3">
        <v>1</v>
      </c>
    </row>
    <row r="169" spans="1:24" ht="12" customHeight="1" x14ac:dyDescent="0.55000000000000004">
      <c r="A169" s="14">
        <f>A168</f>
        <v>425</v>
      </c>
      <c r="B169" s="15"/>
      <c r="C169" s="16" t="s">
        <v>4</v>
      </c>
      <c r="D169" s="53">
        <v>138407.6</v>
      </c>
      <c r="E169" s="50"/>
      <c r="F169" s="50">
        <f>D169+E169</f>
        <v>138407.6</v>
      </c>
      <c r="G169" s="18">
        <v>153842.22099999999</v>
      </c>
      <c r="H169" s="18"/>
      <c r="I169" s="18">
        <f>G169+H169</f>
        <v>153842.22099999999</v>
      </c>
      <c r="X169" s="3">
        <v>2</v>
      </c>
    </row>
    <row r="170" spans="1:24" ht="12" customHeight="1" x14ac:dyDescent="0.55000000000000004">
      <c r="A170" s="14">
        <f>A169</f>
        <v>425</v>
      </c>
      <c r="B170" s="15"/>
      <c r="C170" s="16" t="s">
        <v>5</v>
      </c>
      <c r="D170" s="53">
        <v>13000</v>
      </c>
      <c r="E170" s="50"/>
      <c r="F170" s="50">
        <f>D170+E170</f>
        <v>13000</v>
      </c>
      <c r="G170" s="18">
        <v>17000</v>
      </c>
      <c r="H170" s="18"/>
      <c r="I170" s="18">
        <f>G170+H170</f>
        <v>17000</v>
      </c>
      <c r="X170" s="3">
        <v>3</v>
      </c>
    </row>
    <row r="171" spans="1:24" ht="12" customHeight="1" x14ac:dyDescent="0.55000000000000004">
      <c r="A171" s="14">
        <f>A170</f>
        <v>425</v>
      </c>
      <c r="B171" s="15"/>
      <c r="C171" s="19" t="s">
        <v>6</v>
      </c>
      <c r="D171" s="54">
        <v>0</v>
      </c>
      <c r="E171" s="51"/>
      <c r="F171" s="51">
        <f>D171+E171</f>
        <v>0</v>
      </c>
      <c r="G171" s="21">
        <v>0</v>
      </c>
      <c r="H171" s="21"/>
      <c r="I171" s="21">
        <f>G171+H171</f>
        <v>0</v>
      </c>
      <c r="X171" s="3">
        <v>4</v>
      </c>
    </row>
    <row r="172" spans="1:24" ht="12" customHeight="1" x14ac:dyDescent="0.55000000000000004">
      <c r="A172" s="10">
        <v>426</v>
      </c>
      <c r="B172" s="10" t="s">
        <v>2</v>
      </c>
      <c r="C172" s="11" t="s">
        <v>60</v>
      </c>
      <c r="D172" s="52">
        <f t="shared" ref="D172:I172" si="44">SUM(D173:D175)</f>
        <v>2034593.0009999999</v>
      </c>
      <c r="E172" s="49">
        <f t="shared" si="44"/>
        <v>0</v>
      </c>
      <c r="F172" s="49">
        <f t="shared" si="44"/>
        <v>2034593.0009999999</v>
      </c>
      <c r="G172" s="13">
        <f t="shared" si="44"/>
        <v>2224628.7000000002</v>
      </c>
      <c r="H172" s="13">
        <f t="shared" si="44"/>
        <v>0</v>
      </c>
      <c r="I172" s="13">
        <f t="shared" si="44"/>
        <v>2224628.7000000002</v>
      </c>
      <c r="X172" s="3">
        <v>1</v>
      </c>
    </row>
    <row r="173" spans="1:24" ht="12" customHeight="1" x14ac:dyDescent="0.55000000000000004">
      <c r="A173" s="14">
        <f>A172</f>
        <v>426</v>
      </c>
      <c r="B173" s="15"/>
      <c r="C173" s="16" t="s">
        <v>4</v>
      </c>
      <c r="D173" s="53">
        <v>1922893.0009999999</v>
      </c>
      <c r="E173" s="50"/>
      <c r="F173" s="50">
        <f>D173+E173</f>
        <v>1922893.0009999999</v>
      </c>
      <c r="G173" s="18">
        <v>2090128.7</v>
      </c>
      <c r="H173" s="18"/>
      <c r="I173" s="18">
        <f>G173+H173</f>
        <v>2090128.7</v>
      </c>
      <c r="X173" s="3">
        <v>2</v>
      </c>
    </row>
    <row r="174" spans="1:24" ht="12" customHeight="1" x14ac:dyDescent="0.55000000000000004">
      <c r="A174" s="14">
        <f>A173</f>
        <v>426</v>
      </c>
      <c r="B174" s="15"/>
      <c r="C174" s="16" t="s">
        <v>5</v>
      </c>
      <c r="D174" s="53">
        <v>111700</v>
      </c>
      <c r="E174" s="50"/>
      <c r="F174" s="50">
        <f>D174+E174</f>
        <v>111700</v>
      </c>
      <c r="G174" s="18">
        <v>134500</v>
      </c>
      <c r="H174" s="18"/>
      <c r="I174" s="18">
        <f>G174+H174</f>
        <v>134500</v>
      </c>
      <c r="X174" s="3">
        <v>3</v>
      </c>
    </row>
    <row r="175" spans="1:24" ht="12" customHeight="1" x14ac:dyDescent="0.55000000000000004">
      <c r="A175" s="14">
        <f>A174</f>
        <v>426</v>
      </c>
      <c r="B175" s="15"/>
      <c r="C175" s="19" t="s">
        <v>6</v>
      </c>
      <c r="D175" s="54">
        <v>0</v>
      </c>
      <c r="E175" s="51"/>
      <c r="F175" s="51">
        <f>D175+E175</f>
        <v>0</v>
      </c>
      <c r="G175" s="21">
        <v>0</v>
      </c>
      <c r="H175" s="21"/>
      <c r="I175" s="21">
        <f>G175+H175</f>
        <v>0</v>
      </c>
      <c r="X175" s="3">
        <v>4</v>
      </c>
    </row>
    <row r="176" spans="1:24" ht="12" customHeight="1" x14ac:dyDescent="0.55000000000000004">
      <c r="A176" s="10">
        <v>427</v>
      </c>
      <c r="B176" s="10" t="s">
        <v>2</v>
      </c>
      <c r="C176" s="11" t="s">
        <v>61</v>
      </c>
      <c r="D176" s="52">
        <f t="shared" ref="D176:I176" si="45">SUM(D177:D179)</f>
        <v>541621.80000000005</v>
      </c>
      <c r="E176" s="49">
        <f t="shared" si="45"/>
        <v>0</v>
      </c>
      <c r="F176" s="49">
        <f t="shared" si="45"/>
        <v>541621.80000000005</v>
      </c>
      <c r="G176" s="13">
        <f t="shared" si="45"/>
        <v>524321.80000000005</v>
      </c>
      <c r="H176" s="13">
        <f t="shared" si="45"/>
        <v>0</v>
      </c>
      <c r="I176" s="13">
        <f t="shared" si="45"/>
        <v>524321.80000000005</v>
      </c>
      <c r="X176" s="3">
        <v>1</v>
      </c>
    </row>
    <row r="177" spans="1:24" ht="12" customHeight="1" x14ac:dyDescent="0.55000000000000004">
      <c r="A177" s="14">
        <f>A176</f>
        <v>427</v>
      </c>
      <c r="B177" s="15"/>
      <c r="C177" s="16" t="s">
        <v>4</v>
      </c>
      <c r="D177" s="53">
        <v>22055</v>
      </c>
      <c r="E177" s="50"/>
      <c r="F177" s="50">
        <f>D177+E177</f>
        <v>22055</v>
      </c>
      <c r="G177" s="18">
        <v>19055</v>
      </c>
      <c r="H177" s="18"/>
      <c r="I177" s="18">
        <f>G177+H177</f>
        <v>19055</v>
      </c>
      <c r="X177" s="3">
        <v>2</v>
      </c>
    </row>
    <row r="178" spans="1:24" ht="12" customHeight="1" x14ac:dyDescent="0.55000000000000004">
      <c r="A178" s="14">
        <f>A177</f>
        <v>427</v>
      </c>
      <c r="B178" s="15"/>
      <c r="C178" s="16" t="s">
        <v>5</v>
      </c>
      <c r="D178" s="53">
        <v>5000</v>
      </c>
      <c r="E178" s="50"/>
      <c r="F178" s="50">
        <f>D178+E178</f>
        <v>5000</v>
      </c>
      <c r="G178" s="18">
        <v>5000</v>
      </c>
      <c r="H178" s="18"/>
      <c r="I178" s="18">
        <f>G178+H178</f>
        <v>5000</v>
      </c>
      <c r="X178" s="3">
        <v>3</v>
      </c>
    </row>
    <row r="179" spans="1:24" ht="12" customHeight="1" x14ac:dyDescent="0.55000000000000004">
      <c r="A179" s="14">
        <f>A178</f>
        <v>427</v>
      </c>
      <c r="B179" s="15"/>
      <c r="C179" s="19" t="s">
        <v>6</v>
      </c>
      <c r="D179" s="54">
        <v>514566.8</v>
      </c>
      <c r="E179" s="51"/>
      <c r="F179" s="51">
        <f>D179+E179</f>
        <v>514566.8</v>
      </c>
      <c r="G179" s="21">
        <v>500266.8</v>
      </c>
      <c r="H179" s="21"/>
      <c r="I179" s="21">
        <f>G179+H179</f>
        <v>500266.8</v>
      </c>
      <c r="X179" s="3">
        <v>4</v>
      </c>
    </row>
    <row r="180" spans="1:24" ht="12" customHeight="1" x14ac:dyDescent="0.55000000000000004">
      <c r="A180" s="10">
        <v>440</v>
      </c>
      <c r="B180" s="10" t="s">
        <v>2</v>
      </c>
      <c r="C180" s="11" t="s">
        <v>62</v>
      </c>
      <c r="D180" s="52">
        <f t="shared" ref="D180:I180" si="46">SUM(D181:D183)</f>
        <v>197058.6</v>
      </c>
      <c r="E180" s="49">
        <f t="shared" si="46"/>
        <v>0</v>
      </c>
      <c r="F180" s="49">
        <f t="shared" si="46"/>
        <v>197058.6</v>
      </c>
      <c r="G180" s="13">
        <f t="shared" si="46"/>
        <v>193223</v>
      </c>
      <c r="H180" s="13">
        <f t="shared" si="46"/>
        <v>0</v>
      </c>
      <c r="I180" s="13">
        <f t="shared" si="46"/>
        <v>193223</v>
      </c>
      <c r="X180" s="3">
        <v>1</v>
      </c>
    </row>
    <row r="181" spans="1:24" ht="12" customHeight="1" x14ac:dyDescent="0.55000000000000004">
      <c r="A181" s="14">
        <f>A180</f>
        <v>440</v>
      </c>
      <c r="B181" s="15"/>
      <c r="C181" s="16" t="s">
        <v>4</v>
      </c>
      <c r="D181" s="53">
        <v>6000</v>
      </c>
      <c r="E181" s="50"/>
      <c r="F181" s="50">
        <f>D181+E181</f>
        <v>6000</v>
      </c>
      <c r="G181" s="18">
        <v>0</v>
      </c>
      <c r="H181" s="18"/>
      <c r="I181" s="18">
        <f>G181+H181</f>
        <v>0</v>
      </c>
      <c r="X181" s="3">
        <v>2</v>
      </c>
    </row>
    <row r="182" spans="1:24" ht="12" customHeight="1" x14ac:dyDescent="0.55000000000000004">
      <c r="A182" s="14">
        <f>A181</f>
        <v>440</v>
      </c>
      <c r="B182" s="15"/>
      <c r="C182" s="16" t="s">
        <v>5</v>
      </c>
      <c r="D182" s="53">
        <v>191058.6</v>
      </c>
      <c r="E182" s="50"/>
      <c r="F182" s="50">
        <f>D182+E182</f>
        <v>191058.6</v>
      </c>
      <c r="G182" s="18">
        <v>193223</v>
      </c>
      <c r="H182" s="18"/>
      <c r="I182" s="18">
        <f>G182+H182</f>
        <v>193223</v>
      </c>
      <c r="X182" s="3">
        <v>3</v>
      </c>
    </row>
    <row r="183" spans="1:24" ht="12" customHeight="1" x14ac:dyDescent="0.55000000000000004">
      <c r="A183" s="14">
        <f>A182</f>
        <v>440</v>
      </c>
      <c r="B183" s="15"/>
      <c r="C183" s="19" t="s">
        <v>6</v>
      </c>
      <c r="D183" s="54">
        <v>0</v>
      </c>
      <c r="E183" s="51"/>
      <c r="F183" s="51">
        <f>D183+E183</f>
        <v>0</v>
      </c>
      <c r="G183" s="21">
        <v>0</v>
      </c>
      <c r="H183" s="21"/>
      <c r="I183" s="21">
        <f>G183+H183</f>
        <v>0</v>
      </c>
      <c r="X183" s="3">
        <v>4</v>
      </c>
    </row>
    <row r="184" spans="1:24" ht="12" customHeight="1" x14ac:dyDescent="0.55000000000000004">
      <c r="A184" s="10">
        <v>442</v>
      </c>
      <c r="B184" s="10" t="s">
        <v>2</v>
      </c>
      <c r="C184" s="11" t="s">
        <v>63</v>
      </c>
      <c r="D184" s="49">
        <f t="shared" ref="D184:I184" si="47">SUM(D185:D187)</f>
        <v>29270.269</v>
      </c>
      <c r="E184" s="49">
        <f t="shared" si="47"/>
        <v>0</v>
      </c>
      <c r="F184" s="49">
        <f t="shared" si="47"/>
        <v>29270.269</v>
      </c>
      <c r="G184" s="12">
        <f t="shared" si="47"/>
        <v>30542.7</v>
      </c>
      <c r="H184" s="13">
        <f t="shared" si="47"/>
        <v>0</v>
      </c>
      <c r="I184" s="13">
        <f t="shared" si="47"/>
        <v>30542.7</v>
      </c>
      <c r="X184" s="3">
        <v>1</v>
      </c>
    </row>
    <row r="185" spans="1:24" ht="12" customHeight="1" x14ac:dyDescent="0.55000000000000004">
      <c r="A185" s="14">
        <f>A184</f>
        <v>442</v>
      </c>
      <c r="B185" s="15"/>
      <c r="C185" s="16" t="s">
        <v>4</v>
      </c>
      <c r="D185" s="50">
        <v>18875.469000000001</v>
      </c>
      <c r="E185" s="50"/>
      <c r="F185" s="50">
        <f>D185+E185</f>
        <v>18875.469000000001</v>
      </c>
      <c r="G185" s="18">
        <v>20147.900000000001</v>
      </c>
      <c r="H185" s="18"/>
      <c r="I185" s="18">
        <f>G185+H185</f>
        <v>20147.900000000001</v>
      </c>
      <c r="X185" s="3">
        <v>2</v>
      </c>
    </row>
    <row r="186" spans="1:24" ht="12" customHeight="1" x14ac:dyDescent="0.55000000000000004">
      <c r="A186" s="14">
        <f>A185</f>
        <v>442</v>
      </c>
      <c r="B186" s="15"/>
      <c r="C186" s="16" t="s">
        <v>5</v>
      </c>
      <c r="D186" s="50">
        <v>5600</v>
      </c>
      <c r="E186" s="50"/>
      <c r="F186" s="50">
        <f>D186+E186</f>
        <v>5600</v>
      </c>
      <c r="G186" s="17">
        <v>5600</v>
      </c>
      <c r="H186" s="18"/>
      <c r="I186" s="18">
        <f>G186+H186</f>
        <v>5600</v>
      </c>
      <c r="X186" s="3">
        <v>3</v>
      </c>
    </row>
    <row r="187" spans="1:24" ht="12" customHeight="1" x14ac:dyDescent="0.55000000000000004">
      <c r="A187" s="14">
        <f>A186</f>
        <v>442</v>
      </c>
      <c r="B187" s="15"/>
      <c r="C187" s="19" t="s">
        <v>6</v>
      </c>
      <c r="D187" s="51">
        <v>4794.8</v>
      </c>
      <c r="E187" s="51"/>
      <c r="F187" s="51">
        <f>D187+E187</f>
        <v>4794.8</v>
      </c>
      <c r="G187" s="20">
        <v>4794.8</v>
      </c>
      <c r="H187" s="21"/>
      <c r="I187" s="21">
        <f>G187+H187</f>
        <v>4794.8</v>
      </c>
      <c r="X187" s="3">
        <v>4</v>
      </c>
    </row>
    <row r="188" spans="1:24" ht="12" customHeight="1" x14ac:dyDescent="0.55000000000000004">
      <c r="A188" s="10">
        <v>444</v>
      </c>
      <c r="B188" s="10" t="s">
        <v>2</v>
      </c>
      <c r="C188" s="11" t="s">
        <v>64</v>
      </c>
      <c r="D188" s="49">
        <f t="shared" ref="D188:I188" si="48">SUM(D189:D191)</f>
        <v>14570817.614999998</v>
      </c>
      <c r="E188" s="49">
        <f t="shared" si="48"/>
        <v>27075.45</v>
      </c>
      <c r="F188" s="49">
        <f t="shared" si="48"/>
        <v>14597893.064999998</v>
      </c>
      <c r="G188" s="12">
        <f t="shared" si="48"/>
        <v>13985133.912</v>
      </c>
      <c r="H188" s="13">
        <f t="shared" si="48"/>
        <v>17000</v>
      </c>
      <c r="I188" s="13">
        <f t="shared" si="48"/>
        <v>14002133.912</v>
      </c>
      <c r="X188" s="3">
        <v>1</v>
      </c>
    </row>
    <row r="189" spans="1:24" ht="12" customHeight="1" x14ac:dyDescent="0.55000000000000004">
      <c r="A189" s="14">
        <f>A188</f>
        <v>444</v>
      </c>
      <c r="B189" s="15"/>
      <c r="C189" s="16" t="s">
        <v>4</v>
      </c>
      <c r="D189" s="50">
        <v>7712439.5329999998</v>
      </c>
      <c r="E189" s="50"/>
      <c r="F189" s="50">
        <f>D189+E189</f>
        <v>7712439.5329999998</v>
      </c>
      <c r="G189" s="17">
        <v>7924888.6330000004</v>
      </c>
      <c r="H189" s="18"/>
      <c r="I189" s="18">
        <f>G189+H189</f>
        <v>7924888.6330000004</v>
      </c>
      <c r="X189" s="3">
        <v>2</v>
      </c>
    </row>
    <row r="190" spans="1:24" ht="12" customHeight="1" x14ac:dyDescent="0.55000000000000004">
      <c r="A190" s="14">
        <f>A189</f>
        <v>444</v>
      </c>
      <c r="B190" s="15"/>
      <c r="C190" s="16" t="s">
        <v>5</v>
      </c>
      <c r="D190" s="50">
        <v>1897178.362</v>
      </c>
      <c r="E190" s="50">
        <v>27075.45</v>
      </c>
      <c r="F190" s="50">
        <f>D190+E190</f>
        <v>1924253.8119999999</v>
      </c>
      <c r="G190" s="17">
        <v>1935159.0619999999</v>
      </c>
      <c r="H190" s="18">
        <v>17000</v>
      </c>
      <c r="I190" s="18">
        <f>G190+H190</f>
        <v>1952159.0619999999</v>
      </c>
      <c r="X190" s="3">
        <v>3</v>
      </c>
    </row>
    <row r="191" spans="1:24" ht="12" customHeight="1" x14ac:dyDescent="0.55000000000000004">
      <c r="A191" s="14">
        <f>A190</f>
        <v>444</v>
      </c>
      <c r="B191" s="15"/>
      <c r="C191" s="19" t="s">
        <v>6</v>
      </c>
      <c r="D191" s="51">
        <v>4961199.72</v>
      </c>
      <c r="E191" s="51"/>
      <c r="F191" s="51">
        <f>D191+E191</f>
        <v>4961199.72</v>
      </c>
      <c r="G191" s="20">
        <v>4125086.2170000002</v>
      </c>
      <c r="H191" s="21"/>
      <c r="I191" s="21">
        <f>G191+H191</f>
        <v>4125086.2170000002</v>
      </c>
      <c r="X191" s="3">
        <v>4</v>
      </c>
    </row>
    <row r="192" spans="1:24" ht="12" customHeight="1" x14ac:dyDescent="0.55000000000000004">
      <c r="A192" s="10">
        <v>446</v>
      </c>
      <c r="B192" s="10" t="s">
        <v>2</v>
      </c>
      <c r="C192" s="11" t="s">
        <v>65</v>
      </c>
      <c r="D192" s="49">
        <f t="shared" ref="D192:I192" si="49">SUM(D193:D195)</f>
        <v>119474.1</v>
      </c>
      <c r="E192" s="49">
        <f t="shared" si="49"/>
        <v>0</v>
      </c>
      <c r="F192" s="49">
        <f t="shared" si="49"/>
        <v>119474.1</v>
      </c>
      <c r="G192" s="13">
        <f t="shared" si="49"/>
        <v>134750</v>
      </c>
      <c r="H192" s="13">
        <f t="shared" si="49"/>
        <v>0</v>
      </c>
      <c r="I192" s="13">
        <f t="shared" si="49"/>
        <v>134750</v>
      </c>
      <c r="X192" s="3">
        <v>1</v>
      </c>
    </row>
    <row r="193" spans="1:24" ht="12" customHeight="1" x14ac:dyDescent="0.55000000000000004">
      <c r="A193" s="14">
        <f>A192</f>
        <v>446</v>
      </c>
      <c r="B193" s="15"/>
      <c r="C193" s="16" t="s">
        <v>4</v>
      </c>
      <c r="D193" s="50">
        <v>0</v>
      </c>
      <c r="E193" s="50"/>
      <c r="F193" s="50">
        <f>D193+E193</f>
        <v>0</v>
      </c>
      <c r="G193" s="18">
        <v>0</v>
      </c>
      <c r="H193" s="18"/>
      <c r="I193" s="18">
        <f>G193+H193</f>
        <v>0</v>
      </c>
      <c r="X193" s="3">
        <v>2</v>
      </c>
    </row>
    <row r="194" spans="1:24" ht="12" customHeight="1" x14ac:dyDescent="0.55000000000000004">
      <c r="A194" s="14">
        <f>A193</f>
        <v>446</v>
      </c>
      <c r="B194" s="15"/>
      <c r="C194" s="16" t="s">
        <v>5</v>
      </c>
      <c r="D194" s="50">
        <v>119474.1</v>
      </c>
      <c r="E194" s="50"/>
      <c r="F194" s="50">
        <f>D194+E194</f>
        <v>119474.1</v>
      </c>
      <c r="G194" s="18">
        <v>134750</v>
      </c>
      <c r="H194" s="18"/>
      <c r="I194" s="18">
        <f>G194+H194</f>
        <v>134750</v>
      </c>
      <c r="X194" s="3">
        <v>3</v>
      </c>
    </row>
    <row r="195" spans="1:24" ht="12" customHeight="1" x14ac:dyDescent="0.55000000000000004">
      <c r="A195" s="14">
        <f>A194</f>
        <v>446</v>
      </c>
      <c r="B195" s="15"/>
      <c r="C195" s="19" t="s">
        <v>6</v>
      </c>
      <c r="D195" s="51">
        <v>0</v>
      </c>
      <c r="E195" s="51"/>
      <c r="F195" s="51">
        <f>D195+E195</f>
        <v>0</v>
      </c>
      <c r="G195" s="21">
        <v>0</v>
      </c>
      <c r="H195" s="21"/>
      <c r="I195" s="21">
        <f>G195+H195</f>
        <v>0</v>
      </c>
      <c r="X195" s="3">
        <v>4</v>
      </c>
    </row>
    <row r="196" spans="1:24" ht="12" customHeight="1" x14ac:dyDescent="0.55000000000000004">
      <c r="A196" s="10">
        <v>448</v>
      </c>
      <c r="B196" s="10" t="s">
        <v>2</v>
      </c>
      <c r="C196" s="11" t="s">
        <v>66</v>
      </c>
      <c r="D196" s="49">
        <f t="shared" ref="D196:I196" si="50">SUM(D197:D199)</f>
        <v>894520</v>
      </c>
      <c r="E196" s="49">
        <f t="shared" si="50"/>
        <v>190861.47200000001</v>
      </c>
      <c r="F196" s="49">
        <f t="shared" si="50"/>
        <v>1085381.4720000001</v>
      </c>
      <c r="G196" s="12">
        <f t="shared" si="50"/>
        <v>1058812.6000000001</v>
      </c>
      <c r="H196" s="13">
        <f t="shared" si="50"/>
        <v>126639.92600000001</v>
      </c>
      <c r="I196" s="13">
        <f t="shared" si="50"/>
        <v>1185452.5260000001</v>
      </c>
      <c r="X196" s="3">
        <v>1</v>
      </c>
    </row>
    <row r="197" spans="1:24" ht="12" customHeight="1" x14ac:dyDescent="0.55000000000000004">
      <c r="A197" s="14">
        <f>A196</f>
        <v>448</v>
      </c>
      <c r="B197" s="15"/>
      <c r="C197" s="16" t="s">
        <v>4</v>
      </c>
      <c r="D197" s="50">
        <v>214520</v>
      </c>
      <c r="E197" s="50"/>
      <c r="F197" s="50">
        <f>D197+E197</f>
        <v>214520</v>
      </c>
      <c r="G197" s="17">
        <v>289942.90000000002</v>
      </c>
      <c r="H197" s="18"/>
      <c r="I197" s="18">
        <f>G197+H197</f>
        <v>289942.90000000002</v>
      </c>
      <c r="X197" s="3">
        <v>2</v>
      </c>
    </row>
    <row r="198" spans="1:24" ht="12" customHeight="1" x14ac:dyDescent="0.55000000000000004">
      <c r="A198" s="14">
        <f>A197</f>
        <v>448</v>
      </c>
      <c r="B198" s="15"/>
      <c r="C198" s="16" t="s">
        <v>5</v>
      </c>
      <c r="D198" s="50">
        <v>680000</v>
      </c>
      <c r="E198" s="50">
        <v>190861.47200000001</v>
      </c>
      <c r="F198" s="50">
        <f>D198+E198</f>
        <v>870861.47200000007</v>
      </c>
      <c r="G198" s="17">
        <v>768869.7</v>
      </c>
      <c r="H198" s="18">
        <v>126639.92600000001</v>
      </c>
      <c r="I198" s="18">
        <f>G198+H198</f>
        <v>895509.62599999993</v>
      </c>
      <c r="X198" s="3">
        <v>3</v>
      </c>
    </row>
    <row r="199" spans="1:24" ht="12" customHeight="1" x14ac:dyDescent="0.55000000000000004">
      <c r="A199" s="14">
        <f>A198</f>
        <v>448</v>
      </c>
      <c r="B199" s="15"/>
      <c r="C199" s="19" t="s">
        <v>6</v>
      </c>
      <c r="D199" s="51">
        <v>0</v>
      </c>
      <c r="E199" s="51"/>
      <c r="F199" s="51">
        <f>D199+E199</f>
        <v>0</v>
      </c>
      <c r="G199" s="20">
        <v>0</v>
      </c>
      <c r="H199" s="21"/>
      <c r="I199" s="21">
        <f>G199+H199</f>
        <v>0</v>
      </c>
      <c r="X199" s="3">
        <v>4</v>
      </c>
    </row>
    <row r="200" spans="1:24" ht="12" customHeight="1" x14ac:dyDescent="0.55000000000000004">
      <c r="A200" s="10">
        <v>452</v>
      </c>
      <c r="B200" s="10" t="s">
        <v>2</v>
      </c>
      <c r="C200" s="11" t="s">
        <v>67</v>
      </c>
      <c r="D200" s="49">
        <f t="shared" ref="D200:I200" si="51">SUM(D201:D203)</f>
        <v>23898.9</v>
      </c>
      <c r="E200" s="49">
        <f t="shared" si="51"/>
        <v>0</v>
      </c>
      <c r="F200" s="49">
        <f t="shared" si="51"/>
        <v>23898.9</v>
      </c>
      <c r="G200" s="12">
        <f t="shared" si="51"/>
        <v>26391</v>
      </c>
      <c r="H200" s="13">
        <f t="shared" si="51"/>
        <v>0</v>
      </c>
      <c r="I200" s="13">
        <f t="shared" si="51"/>
        <v>26391</v>
      </c>
      <c r="X200" s="3">
        <v>1</v>
      </c>
    </row>
    <row r="201" spans="1:24" ht="12" customHeight="1" x14ac:dyDescent="0.55000000000000004">
      <c r="A201" s="14">
        <f>A200</f>
        <v>452</v>
      </c>
      <c r="B201" s="15"/>
      <c r="C201" s="16" t="s">
        <v>4</v>
      </c>
      <c r="D201" s="50">
        <v>13000.5</v>
      </c>
      <c r="E201" s="50"/>
      <c r="F201" s="50">
        <f>D201+E201</f>
        <v>13000.5</v>
      </c>
      <c r="G201" s="17">
        <v>14291</v>
      </c>
      <c r="H201" s="18"/>
      <c r="I201" s="18">
        <f>G201+H201</f>
        <v>14291</v>
      </c>
      <c r="X201" s="3">
        <v>2</v>
      </c>
    </row>
    <row r="202" spans="1:24" ht="12" customHeight="1" x14ac:dyDescent="0.55000000000000004">
      <c r="A202" s="14">
        <f>A201</f>
        <v>452</v>
      </c>
      <c r="B202" s="15"/>
      <c r="C202" s="16" t="s">
        <v>5</v>
      </c>
      <c r="D202" s="50">
        <v>4498.3999999999996</v>
      </c>
      <c r="E202" s="50"/>
      <c r="F202" s="50">
        <f>D202+E202</f>
        <v>4498.3999999999996</v>
      </c>
      <c r="G202" s="17">
        <v>5700</v>
      </c>
      <c r="H202" s="18"/>
      <c r="I202" s="18">
        <f>G202+H202</f>
        <v>5700</v>
      </c>
      <c r="X202" s="3">
        <v>3</v>
      </c>
    </row>
    <row r="203" spans="1:24" ht="12" customHeight="1" x14ac:dyDescent="0.55000000000000004">
      <c r="A203" s="14">
        <f>A202</f>
        <v>452</v>
      </c>
      <c r="B203" s="15"/>
      <c r="C203" s="19" t="s">
        <v>6</v>
      </c>
      <c r="D203" s="51">
        <v>6400</v>
      </c>
      <c r="E203" s="51"/>
      <c r="F203" s="51">
        <f>D203+E203</f>
        <v>6400</v>
      </c>
      <c r="G203" s="20">
        <v>6400</v>
      </c>
      <c r="H203" s="21"/>
      <c r="I203" s="21">
        <f>G203+H203</f>
        <v>6400</v>
      </c>
      <c r="X203" s="3">
        <v>4</v>
      </c>
    </row>
    <row r="204" spans="1:24" ht="12" customHeight="1" x14ac:dyDescent="0.55000000000000004">
      <c r="A204" s="10">
        <v>458</v>
      </c>
      <c r="B204" s="10" t="s">
        <v>2</v>
      </c>
      <c r="C204" s="11" t="s">
        <v>68</v>
      </c>
      <c r="D204" s="52">
        <f t="shared" ref="D204:I204" si="52">SUM(D205:D207)</f>
        <v>3289738.8</v>
      </c>
      <c r="E204" s="49">
        <f t="shared" si="52"/>
        <v>0</v>
      </c>
      <c r="F204" s="49">
        <f t="shared" si="52"/>
        <v>3289738.8</v>
      </c>
      <c r="G204" s="12">
        <f t="shared" si="52"/>
        <v>3291277</v>
      </c>
      <c r="H204" s="13">
        <f t="shared" si="52"/>
        <v>0</v>
      </c>
      <c r="I204" s="13">
        <f t="shared" si="52"/>
        <v>3291277</v>
      </c>
      <c r="X204" s="3">
        <v>1</v>
      </c>
    </row>
    <row r="205" spans="1:24" ht="12" customHeight="1" x14ac:dyDescent="0.55000000000000004">
      <c r="A205" s="14">
        <f>A204</f>
        <v>458</v>
      </c>
      <c r="B205" s="15"/>
      <c r="C205" s="16" t="s">
        <v>4</v>
      </c>
      <c r="D205" s="53">
        <v>0</v>
      </c>
      <c r="E205" s="50"/>
      <c r="F205" s="50">
        <f>D205+E205</f>
        <v>0</v>
      </c>
      <c r="G205" s="17">
        <v>0</v>
      </c>
      <c r="H205" s="18"/>
      <c r="I205" s="18">
        <f>G205+H205</f>
        <v>0</v>
      </c>
      <c r="X205" s="3">
        <v>2</v>
      </c>
    </row>
    <row r="206" spans="1:24" ht="12" customHeight="1" x14ac:dyDescent="0.55000000000000004">
      <c r="A206" s="14">
        <f>A205</f>
        <v>458</v>
      </c>
      <c r="B206" s="15"/>
      <c r="C206" s="16" t="s">
        <v>5</v>
      </c>
      <c r="D206" s="53">
        <v>3289738.8</v>
      </c>
      <c r="E206" s="50"/>
      <c r="F206" s="50">
        <f>D206+E206</f>
        <v>3289738.8</v>
      </c>
      <c r="G206" s="17">
        <v>3291277</v>
      </c>
      <c r="H206" s="18"/>
      <c r="I206" s="18">
        <f>G206+H206</f>
        <v>3291277</v>
      </c>
      <c r="X206" s="3">
        <v>3</v>
      </c>
    </row>
    <row r="207" spans="1:24" ht="12" customHeight="1" x14ac:dyDescent="0.55000000000000004">
      <c r="A207" s="14">
        <f>A206</f>
        <v>458</v>
      </c>
      <c r="B207" s="15"/>
      <c r="C207" s="19" t="s">
        <v>6</v>
      </c>
      <c r="D207" s="54">
        <v>0</v>
      </c>
      <c r="E207" s="51"/>
      <c r="F207" s="51">
        <f>D207+E207</f>
        <v>0</v>
      </c>
      <c r="G207" s="20">
        <v>0</v>
      </c>
      <c r="H207" s="21"/>
      <c r="I207" s="21">
        <f>G207+H207</f>
        <v>0</v>
      </c>
      <c r="X207" s="3">
        <v>4</v>
      </c>
    </row>
    <row r="208" spans="1:24" ht="12" customHeight="1" x14ac:dyDescent="0.55000000000000004">
      <c r="A208" s="10">
        <v>466</v>
      </c>
      <c r="B208" s="10" t="s">
        <v>2</v>
      </c>
      <c r="C208" s="11" t="s">
        <v>69</v>
      </c>
      <c r="D208" s="52">
        <f t="shared" ref="D208:I208" si="53">SUM(D209:D211)</f>
        <v>67047.199999999997</v>
      </c>
      <c r="E208" s="49">
        <f t="shared" si="53"/>
        <v>153146.946</v>
      </c>
      <c r="F208" s="49">
        <f t="shared" si="53"/>
        <v>220194.14600000001</v>
      </c>
      <c r="G208" s="12">
        <f t="shared" si="53"/>
        <v>69112.2</v>
      </c>
      <c r="H208" s="13">
        <f t="shared" si="53"/>
        <v>159602.09700000001</v>
      </c>
      <c r="I208" s="13">
        <f t="shared" si="53"/>
        <v>228714.29700000002</v>
      </c>
      <c r="X208" s="3">
        <v>1</v>
      </c>
    </row>
    <row r="209" spans="1:24" ht="12" customHeight="1" x14ac:dyDescent="0.55000000000000004">
      <c r="A209" s="14">
        <f>A208</f>
        <v>466</v>
      </c>
      <c r="B209" s="15"/>
      <c r="C209" s="16" t="s">
        <v>4</v>
      </c>
      <c r="D209" s="53">
        <v>20536.5</v>
      </c>
      <c r="E209" s="50"/>
      <c r="F209" s="50">
        <f>D209+E209</f>
        <v>20536.5</v>
      </c>
      <c r="G209" s="17">
        <v>22601.5</v>
      </c>
      <c r="H209" s="18"/>
      <c r="I209" s="18">
        <f>G209+H209</f>
        <v>22601.5</v>
      </c>
      <c r="X209" s="3">
        <v>2</v>
      </c>
    </row>
    <row r="210" spans="1:24" ht="12" customHeight="1" x14ac:dyDescent="0.55000000000000004">
      <c r="A210" s="14">
        <f>A209</f>
        <v>466</v>
      </c>
      <c r="B210" s="15"/>
      <c r="C210" s="16" t="s">
        <v>5</v>
      </c>
      <c r="D210" s="53">
        <v>6100</v>
      </c>
      <c r="E210" s="50">
        <v>153146.946</v>
      </c>
      <c r="F210" s="50">
        <f>D210+E210</f>
        <v>159246.946</v>
      </c>
      <c r="G210" s="17">
        <v>6100</v>
      </c>
      <c r="H210" s="18">
        <v>159602.09700000001</v>
      </c>
      <c r="I210" s="18">
        <f>G210+H210</f>
        <v>165702.09700000001</v>
      </c>
      <c r="X210" s="3">
        <v>3</v>
      </c>
    </row>
    <row r="211" spans="1:24" ht="12" customHeight="1" x14ac:dyDescent="0.55000000000000004">
      <c r="A211" s="14">
        <f>A210</f>
        <v>466</v>
      </c>
      <c r="B211" s="15"/>
      <c r="C211" s="19" t="s">
        <v>6</v>
      </c>
      <c r="D211" s="54">
        <v>40410.699999999997</v>
      </c>
      <c r="E211" s="51"/>
      <c r="F211" s="51">
        <f>D211+E211</f>
        <v>40410.699999999997</v>
      </c>
      <c r="G211" s="20">
        <v>40410.699999999997</v>
      </c>
      <c r="H211" s="21"/>
      <c r="I211" s="21">
        <f>G211+H211</f>
        <v>40410.699999999997</v>
      </c>
      <c r="X211" s="3">
        <v>4</v>
      </c>
    </row>
    <row r="212" spans="1:24" ht="12" customHeight="1" x14ac:dyDescent="0.55000000000000004">
      <c r="A212" s="10">
        <v>478</v>
      </c>
      <c r="B212" s="10" t="s">
        <v>2</v>
      </c>
      <c r="C212" s="11" t="s">
        <v>70</v>
      </c>
      <c r="D212" s="52">
        <f t="shared" ref="D212:I212" si="54">SUM(D213:D215)</f>
        <v>41482829.700000003</v>
      </c>
      <c r="E212" s="49">
        <f t="shared" si="54"/>
        <v>0</v>
      </c>
      <c r="F212" s="49">
        <f t="shared" si="54"/>
        <v>41482829.700000003</v>
      </c>
      <c r="G212" s="12">
        <f t="shared" si="54"/>
        <v>45238692.900000006</v>
      </c>
      <c r="H212" s="13">
        <f t="shared" si="54"/>
        <v>0</v>
      </c>
      <c r="I212" s="13">
        <f t="shared" si="54"/>
        <v>45238692.900000006</v>
      </c>
      <c r="X212" s="3">
        <v>1</v>
      </c>
    </row>
    <row r="213" spans="1:24" ht="12" customHeight="1" x14ac:dyDescent="0.55000000000000004">
      <c r="A213" s="14">
        <f>A212</f>
        <v>478</v>
      </c>
      <c r="B213" s="15"/>
      <c r="C213" s="16" t="s">
        <v>4</v>
      </c>
      <c r="D213" s="53">
        <v>9161202.8000000007</v>
      </c>
      <c r="E213" s="50"/>
      <c r="F213" s="50">
        <f>D213+E213</f>
        <v>9161202.8000000007</v>
      </c>
      <c r="G213" s="17">
        <v>9300579.8000000007</v>
      </c>
      <c r="H213" s="18"/>
      <c r="I213" s="18">
        <f>G213+H213</f>
        <v>9300579.8000000007</v>
      </c>
      <c r="X213" s="3">
        <v>2</v>
      </c>
    </row>
    <row r="214" spans="1:24" ht="12" customHeight="1" x14ac:dyDescent="0.55000000000000004">
      <c r="A214" s="14">
        <f>A213</f>
        <v>478</v>
      </c>
      <c r="B214" s="15"/>
      <c r="C214" s="16" t="s">
        <v>5</v>
      </c>
      <c r="D214" s="53">
        <v>31916280.199999999</v>
      </c>
      <c r="E214" s="50"/>
      <c r="F214" s="50">
        <f>D214+E214</f>
        <v>31916280.199999999</v>
      </c>
      <c r="G214" s="18">
        <v>35536788.100000001</v>
      </c>
      <c r="H214" s="18"/>
      <c r="I214" s="18">
        <f>G214+H214</f>
        <v>35536788.100000001</v>
      </c>
      <c r="X214" s="3">
        <v>3</v>
      </c>
    </row>
    <row r="215" spans="1:24" ht="12" customHeight="1" x14ac:dyDescent="0.55000000000000004">
      <c r="A215" s="14">
        <f>A214</f>
        <v>478</v>
      </c>
      <c r="B215" s="15"/>
      <c r="C215" s="19" t="s">
        <v>6</v>
      </c>
      <c r="D215" s="54">
        <v>405346.7</v>
      </c>
      <c r="E215" s="51"/>
      <c r="F215" s="51">
        <f>D215+E215</f>
        <v>405346.7</v>
      </c>
      <c r="G215" s="20">
        <v>401325</v>
      </c>
      <c r="H215" s="21"/>
      <c r="I215" s="21">
        <f>G215+H215</f>
        <v>401325</v>
      </c>
      <c r="X215" s="3">
        <v>4</v>
      </c>
    </row>
    <row r="216" spans="1:24" ht="12" customHeight="1" x14ac:dyDescent="0.55000000000000004">
      <c r="A216" s="10">
        <v>480</v>
      </c>
      <c r="B216" s="10" t="s">
        <v>2</v>
      </c>
      <c r="C216" s="11" t="s">
        <v>71</v>
      </c>
      <c r="D216" s="52">
        <f t="shared" ref="D216:I216" si="55">SUM(D217:D219)</f>
        <v>100</v>
      </c>
      <c r="E216" s="49">
        <f t="shared" si="55"/>
        <v>0</v>
      </c>
      <c r="F216" s="49">
        <f t="shared" si="55"/>
        <v>100</v>
      </c>
      <c r="G216" s="12">
        <f t="shared" si="55"/>
        <v>11716.8</v>
      </c>
      <c r="H216" s="13">
        <f t="shared" si="55"/>
        <v>0</v>
      </c>
      <c r="I216" s="13">
        <f t="shared" si="55"/>
        <v>11716.8</v>
      </c>
      <c r="X216" s="3">
        <v>1</v>
      </c>
    </row>
    <row r="217" spans="1:24" ht="12" customHeight="1" x14ac:dyDescent="0.55000000000000004">
      <c r="A217" s="14">
        <f>A216</f>
        <v>480</v>
      </c>
      <c r="B217" s="15"/>
      <c r="C217" s="16" t="s">
        <v>4</v>
      </c>
      <c r="D217" s="53">
        <v>100</v>
      </c>
      <c r="E217" s="50"/>
      <c r="F217" s="50">
        <f>D217+E217</f>
        <v>100</v>
      </c>
      <c r="G217" s="17">
        <v>11716.8</v>
      </c>
      <c r="H217" s="18"/>
      <c r="I217" s="18">
        <f>G217+H217</f>
        <v>11716.8</v>
      </c>
      <c r="X217" s="3">
        <v>2</v>
      </c>
    </row>
    <row r="218" spans="1:24" ht="12" customHeight="1" x14ac:dyDescent="0.55000000000000004">
      <c r="A218" s="14">
        <f>A217</f>
        <v>480</v>
      </c>
      <c r="B218" s="15"/>
      <c r="C218" s="16" t="s">
        <v>5</v>
      </c>
      <c r="D218" s="53">
        <v>0</v>
      </c>
      <c r="E218" s="50"/>
      <c r="F218" s="50">
        <f>D218+E218</f>
        <v>0</v>
      </c>
      <c r="G218" s="17">
        <v>0</v>
      </c>
      <c r="H218" s="18"/>
      <c r="I218" s="18">
        <f>G218+H218</f>
        <v>0</v>
      </c>
      <c r="X218" s="3">
        <v>3</v>
      </c>
    </row>
    <row r="219" spans="1:24" ht="12" customHeight="1" x14ac:dyDescent="0.55000000000000004">
      <c r="A219" s="14">
        <f>A218</f>
        <v>480</v>
      </c>
      <c r="B219" s="15"/>
      <c r="C219" s="19" t="s">
        <v>6</v>
      </c>
      <c r="D219" s="54">
        <v>0</v>
      </c>
      <c r="E219" s="51"/>
      <c r="F219" s="51">
        <f>D219+E219</f>
        <v>0</v>
      </c>
      <c r="G219" s="20">
        <v>0</v>
      </c>
      <c r="H219" s="21"/>
      <c r="I219" s="21">
        <f>G219+H219</f>
        <v>0</v>
      </c>
      <c r="X219" s="3">
        <v>4</v>
      </c>
    </row>
    <row r="220" spans="1:24" ht="12" customHeight="1" x14ac:dyDescent="0.55000000000000004">
      <c r="A220" s="10">
        <v>482</v>
      </c>
      <c r="B220" s="10" t="s">
        <v>2</v>
      </c>
      <c r="C220" s="11" t="s">
        <v>72</v>
      </c>
      <c r="D220" s="49">
        <f t="shared" ref="D220:I220" si="56">SUM(D221:D223)</f>
        <v>1876438.895</v>
      </c>
      <c r="E220" s="49">
        <f t="shared" si="56"/>
        <v>14906.526</v>
      </c>
      <c r="F220" s="49">
        <f t="shared" si="56"/>
        <v>1891345.4210000001</v>
      </c>
      <c r="G220" s="12">
        <f t="shared" si="56"/>
        <v>1817833.1440000001</v>
      </c>
      <c r="H220" s="13">
        <f t="shared" si="56"/>
        <v>14401.579</v>
      </c>
      <c r="I220" s="13">
        <f t="shared" si="56"/>
        <v>1832234.723</v>
      </c>
      <c r="X220" s="3">
        <v>1</v>
      </c>
    </row>
    <row r="221" spans="1:24" ht="12" customHeight="1" x14ac:dyDescent="0.55000000000000004">
      <c r="A221" s="14">
        <f>A220</f>
        <v>482</v>
      </c>
      <c r="B221" s="15"/>
      <c r="C221" s="16" t="s">
        <v>4</v>
      </c>
      <c r="D221" s="50">
        <v>398561.64</v>
      </c>
      <c r="E221" s="50"/>
      <c r="F221" s="50">
        <f>D221+E221</f>
        <v>398561.64</v>
      </c>
      <c r="G221" s="17">
        <v>322482</v>
      </c>
      <c r="H221" s="18"/>
      <c r="I221" s="18">
        <f>G221+H221</f>
        <v>322482</v>
      </c>
      <c r="X221" s="3">
        <v>2</v>
      </c>
    </row>
    <row r="222" spans="1:24" ht="12" customHeight="1" x14ac:dyDescent="0.55000000000000004">
      <c r="A222" s="14">
        <f>A221</f>
        <v>482</v>
      </c>
      <c r="B222" s="15"/>
      <c r="C222" s="16" t="s">
        <v>5</v>
      </c>
      <c r="D222" s="50">
        <v>286528.41100000002</v>
      </c>
      <c r="E222" s="50">
        <v>14906.526</v>
      </c>
      <c r="F222" s="50">
        <f>D222+E222</f>
        <v>301434.93700000003</v>
      </c>
      <c r="G222" s="18">
        <v>379204.71500000003</v>
      </c>
      <c r="H222" s="18">
        <v>14401.579</v>
      </c>
      <c r="I222" s="18">
        <f>G222+H222</f>
        <v>393606.29400000005</v>
      </c>
      <c r="X222" s="3">
        <v>3</v>
      </c>
    </row>
    <row r="223" spans="1:24" ht="12" customHeight="1" x14ac:dyDescent="0.55000000000000004">
      <c r="A223" s="14">
        <f>A222</f>
        <v>482</v>
      </c>
      <c r="B223" s="15"/>
      <c r="C223" s="19" t="s">
        <v>6</v>
      </c>
      <c r="D223" s="51">
        <v>1191348.844</v>
      </c>
      <c r="E223" s="51"/>
      <c r="F223" s="51">
        <f>D223+E223</f>
        <v>1191348.844</v>
      </c>
      <c r="G223" s="21">
        <v>1116146.429</v>
      </c>
      <c r="H223" s="21"/>
      <c r="I223" s="21">
        <f>G223+H223</f>
        <v>1116146.429</v>
      </c>
      <c r="X223" s="3">
        <v>4</v>
      </c>
    </row>
    <row r="224" spans="1:24" ht="12" customHeight="1" x14ac:dyDescent="0.55000000000000004">
      <c r="A224" s="10">
        <v>492</v>
      </c>
      <c r="B224" s="10" t="s">
        <v>2</v>
      </c>
      <c r="C224" s="11" t="s">
        <v>73</v>
      </c>
      <c r="D224" s="49">
        <f t="shared" ref="D224:I224" si="57">SUM(D225:D227)</f>
        <v>1451655.9</v>
      </c>
      <c r="E224" s="49">
        <f t="shared" si="57"/>
        <v>0</v>
      </c>
      <c r="F224" s="49">
        <f t="shared" si="57"/>
        <v>1451655.9</v>
      </c>
      <c r="G224" s="13">
        <f t="shared" si="57"/>
        <v>1464111.4</v>
      </c>
      <c r="H224" s="13">
        <f t="shared" si="57"/>
        <v>0</v>
      </c>
      <c r="I224" s="13">
        <f t="shared" si="57"/>
        <v>1464111.4</v>
      </c>
      <c r="X224" s="3">
        <v>1</v>
      </c>
    </row>
    <row r="225" spans="1:24" ht="12" customHeight="1" x14ac:dyDescent="0.55000000000000004">
      <c r="A225" s="14">
        <f>A224</f>
        <v>492</v>
      </c>
      <c r="B225" s="15"/>
      <c r="C225" s="16" t="s">
        <v>4</v>
      </c>
      <c r="D225" s="53">
        <v>53038.7</v>
      </c>
      <c r="E225" s="50"/>
      <c r="F225" s="50">
        <f>D225+E225</f>
        <v>53038.7</v>
      </c>
      <c r="G225" s="18">
        <v>52538.7</v>
      </c>
      <c r="H225" s="18"/>
      <c r="I225" s="18">
        <f>G225+H225</f>
        <v>52538.7</v>
      </c>
      <c r="X225" s="3">
        <v>2</v>
      </c>
    </row>
    <row r="226" spans="1:24" ht="12" customHeight="1" x14ac:dyDescent="0.55000000000000004">
      <c r="A226" s="14">
        <f>A225</f>
        <v>492</v>
      </c>
      <c r="B226" s="15"/>
      <c r="C226" s="16" t="s">
        <v>5</v>
      </c>
      <c r="D226" s="53">
        <v>1398117.2</v>
      </c>
      <c r="E226" s="50"/>
      <c r="F226" s="50">
        <f>D226+E226</f>
        <v>1398117.2</v>
      </c>
      <c r="G226" s="18">
        <v>1411072.7</v>
      </c>
      <c r="H226" s="18"/>
      <c r="I226" s="18">
        <f>G226+H226</f>
        <v>1411072.7</v>
      </c>
      <c r="X226" s="3">
        <v>3</v>
      </c>
    </row>
    <row r="227" spans="1:24" ht="12" customHeight="1" x14ac:dyDescent="0.55000000000000004">
      <c r="A227" s="14">
        <f>A226</f>
        <v>492</v>
      </c>
      <c r="B227" s="15"/>
      <c r="C227" s="19" t="s">
        <v>6</v>
      </c>
      <c r="D227" s="54">
        <v>500</v>
      </c>
      <c r="E227" s="51"/>
      <c r="F227" s="51">
        <f>D227+E227</f>
        <v>500</v>
      </c>
      <c r="G227" s="21">
        <v>500</v>
      </c>
      <c r="H227" s="21"/>
      <c r="I227" s="21">
        <f>G227+H227</f>
        <v>500</v>
      </c>
      <c r="X227" s="3">
        <v>4</v>
      </c>
    </row>
    <row r="228" spans="1:24" ht="12" customHeight="1" x14ac:dyDescent="0.55000000000000004">
      <c r="A228" s="10">
        <v>493</v>
      </c>
      <c r="B228" s="10" t="s">
        <v>2</v>
      </c>
      <c r="C228" s="11" t="s">
        <v>74</v>
      </c>
      <c r="D228" s="52">
        <f t="shared" ref="D228:I228" si="58">SUM(D229:D231)</f>
        <v>923130.9</v>
      </c>
      <c r="E228" s="49">
        <f t="shared" si="58"/>
        <v>122500</v>
      </c>
      <c r="F228" s="49">
        <f t="shared" si="58"/>
        <v>1045630.9</v>
      </c>
      <c r="G228" s="12">
        <f t="shared" si="58"/>
        <v>966070.1</v>
      </c>
      <c r="H228" s="13">
        <f t="shared" si="58"/>
        <v>122500</v>
      </c>
      <c r="I228" s="13">
        <f t="shared" si="58"/>
        <v>1088570.1000000001</v>
      </c>
      <c r="X228" s="3">
        <v>1</v>
      </c>
    </row>
    <row r="229" spans="1:24" ht="12" customHeight="1" x14ac:dyDescent="0.55000000000000004">
      <c r="A229" s="14">
        <f>A228</f>
        <v>493</v>
      </c>
      <c r="B229" s="15"/>
      <c r="C229" s="16" t="s">
        <v>4</v>
      </c>
      <c r="D229" s="53">
        <v>425080.9</v>
      </c>
      <c r="E229" s="50"/>
      <c r="F229" s="50">
        <f>D229+E229</f>
        <v>425080.9</v>
      </c>
      <c r="G229" s="17">
        <v>448720.1</v>
      </c>
      <c r="H229" s="18"/>
      <c r="I229" s="18">
        <f>G229+H229</f>
        <v>448720.1</v>
      </c>
      <c r="X229" s="3">
        <v>2</v>
      </c>
    </row>
    <row r="230" spans="1:24" ht="12" customHeight="1" x14ac:dyDescent="0.55000000000000004">
      <c r="A230" s="14">
        <f>A229</f>
        <v>493</v>
      </c>
      <c r="B230" s="15"/>
      <c r="C230" s="16" t="s">
        <v>5</v>
      </c>
      <c r="D230" s="53">
        <v>458050</v>
      </c>
      <c r="E230" s="50">
        <v>122500</v>
      </c>
      <c r="F230" s="50">
        <f>D230+E230</f>
        <v>580550</v>
      </c>
      <c r="G230" s="17">
        <v>467350</v>
      </c>
      <c r="H230" s="18">
        <v>122500</v>
      </c>
      <c r="I230" s="18">
        <f>G230+H230</f>
        <v>589850</v>
      </c>
      <c r="X230" s="3">
        <v>3</v>
      </c>
    </row>
    <row r="231" spans="1:24" ht="12" customHeight="1" x14ac:dyDescent="0.55000000000000004">
      <c r="A231" s="14">
        <f>A230</f>
        <v>493</v>
      </c>
      <c r="B231" s="15"/>
      <c r="C231" s="19" t="s">
        <v>6</v>
      </c>
      <c r="D231" s="54">
        <v>40000</v>
      </c>
      <c r="E231" s="51"/>
      <c r="F231" s="51">
        <f>D231+E231</f>
        <v>40000</v>
      </c>
      <c r="G231" s="20">
        <v>50000</v>
      </c>
      <c r="H231" s="21"/>
      <c r="I231" s="21">
        <f>G231+H231</f>
        <v>50000</v>
      </c>
      <c r="X231" s="3">
        <v>4</v>
      </c>
    </row>
    <row r="232" spans="1:24" ht="12" customHeight="1" x14ac:dyDescent="0.55000000000000004">
      <c r="A232" s="10">
        <v>494</v>
      </c>
      <c r="B232" s="10" t="s">
        <v>2</v>
      </c>
      <c r="C232" s="11" t="s">
        <v>75</v>
      </c>
      <c r="D232" s="63">
        <f t="shared" ref="D232:I232" si="59">SUM(D233:D235)</f>
        <v>4551703.95</v>
      </c>
      <c r="E232" s="63">
        <f t="shared" si="59"/>
        <v>28369076.780999999</v>
      </c>
      <c r="F232" s="49">
        <f t="shared" si="59"/>
        <v>32920780.731000002</v>
      </c>
      <c r="G232" s="13">
        <f t="shared" si="59"/>
        <v>4737199.2079999996</v>
      </c>
      <c r="H232" s="13">
        <f t="shared" si="59"/>
        <v>29647745.068999998</v>
      </c>
      <c r="I232" s="13">
        <f t="shared" si="59"/>
        <v>34384944.277000003</v>
      </c>
      <c r="X232" s="3">
        <v>1</v>
      </c>
    </row>
    <row r="233" spans="1:24" ht="12" customHeight="1" x14ac:dyDescent="0.55000000000000004">
      <c r="A233" s="14">
        <f>A232</f>
        <v>494</v>
      </c>
      <c r="B233" s="15"/>
      <c r="C233" s="16" t="s">
        <v>4</v>
      </c>
      <c r="D233" s="64">
        <v>0</v>
      </c>
      <c r="E233" s="64"/>
      <c r="F233" s="50">
        <f>D233+E233</f>
        <v>0</v>
      </c>
      <c r="G233" s="18">
        <v>0</v>
      </c>
      <c r="H233" s="18"/>
      <c r="I233" s="18">
        <f>G233+H233</f>
        <v>0</v>
      </c>
      <c r="X233" s="3">
        <v>2</v>
      </c>
    </row>
    <row r="234" spans="1:24" ht="12" customHeight="1" x14ac:dyDescent="0.55000000000000004">
      <c r="A234" s="14">
        <f>A233</f>
        <v>494</v>
      </c>
      <c r="B234" s="15"/>
      <c r="C234" s="16" t="s">
        <v>5</v>
      </c>
      <c r="D234" s="64">
        <v>4536360.8590000002</v>
      </c>
      <c r="E234" s="64">
        <v>27654315.241</v>
      </c>
      <c r="F234" s="50">
        <f>D234+E234</f>
        <v>32190676.100000001</v>
      </c>
      <c r="G234" s="18">
        <v>4723097.4519999996</v>
      </c>
      <c r="H234" s="18">
        <v>28880382.482999999</v>
      </c>
      <c r="I234" s="18">
        <f>G234+H234</f>
        <v>33603479.935000002</v>
      </c>
      <c r="X234" s="3">
        <v>3</v>
      </c>
    </row>
    <row r="235" spans="1:24" ht="12" customHeight="1" x14ac:dyDescent="0.55000000000000004">
      <c r="A235" s="14">
        <f>A234</f>
        <v>494</v>
      </c>
      <c r="B235" s="15"/>
      <c r="C235" s="19" t="s">
        <v>6</v>
      </c>
      <c r="D235" s="65">
        <v>15343.091</v>
      </c>
      <c r="E235" s="65">
        <v>714761.54</v>
      </c>
      <c r="F235" s="51">
        <f>D235+E235</f>
        <v>730104.63100000005</v>
      </c>
      <c r="G235" s="21">
        <v>14101.755999999999</v>
      </c>
      <c r="H235" s="21">
        <v>767362.58600000001</v>
      </c>
      <c r="I235" s="21">
        <f>G235+H235</f>
        <v>781464.34200000006</v>
      </c>
      <c r="X235" s="3">
        <v>4</v>
      </c>
    </row>
    <row r="236" spans="1:24" ht="12" customHeight="1" x14ac:dyDescent="0.55000000000000004">
      <c r="A236" s="10">
        <v>497</v>
      </c>
      <c r="B236" s="10" t="s">
        <v>2</v>
      </c>
      <c r="C236" s="11" t="s">
        <v>76</v>
      </c>
      <c r="D236" s="49">
        <f t="shared" ref="D236:I236" si="60">SUM(D237:D239)</f>
        <v>237468.4</v>
      </c>
      <c r="E236" s="49">
        <f t="shared" si="60"/>
        <v>0</v>
      </c>
      <c r="F236" s="49">
        <f t="shared" si="60"/>
        <v>237468.4</v>
      </c>
      <c r="G236" s="12">
        <f t="shared" si="60"/>
        <v>240560.30299999999</v>
      </c>
      <c r="H236" s="13">
        <f t="shared" si="60"/>
        <v>0</v>
      </c>
      <c r="I236" s="13">
        <f t="shared" si="60"/>
        <v>240560.30299999999</v>
      </c>
      <c r="X236" s="3">
        <v>1</v>
      </c>
    </row>
    <row r="237" spans="1:24" ht="12" customHeight="1" x14ac:dyDescent="0.55000000000000004">
      <c r="A237" s="14">
        <f>A236</f>
        <v>497</v>
      </c>
      <c r="B237" s="15"/>
      <c r="C237" s="16" t="s">
        <v>4</v>
      </c>
      <c r="D237" s="50">
        <v>169387.5</v>
      </c>
      <c r="E237" s="50"/>
      <c r="F237" s="50">
        <f>D237+E237</f>
        <v>169387.5</v>
      </c>
      <c r="G237" s="17">
        <v>142937.54300000001</v>
      </c>
      <c r="H237" s="18"/>
      <c r="I237" s="18">
        <f>G237+H237</f>
        <v>142937.54300000001</v>
      </c>
      <c r="X237" s="3">
        <v>2</v>
      </c>
    </row>
    <row r="238" spans="1:24" ht="12" customHeight="1" x14ac:dyDescent="0.55000000000000004">
      <c r="A238" s="14">
        <f>A237</f>
        <v>497</v>
      </c>
      <c r="B238" s="15"/>
      <c r="C238" s="16" t="s">
        <v>5</v>
      </c>
      <c r="D238" s="50">
        <v>65473.1</v>
      </c>
      <c r="E238" s="50"/>
      <c r="F238" s="50">
        <f>D238+E238</f>
        <v>65473.1</v>
      </c>
      <c r="G238" s="17">
        <v>94931.36</v>
      </c>
      <c r="H238" s="18"/>
      <c r="I238" s="18">
        <f>G238+H238</f>
        <v>94931.36</v>
      </c>
      <c r="X238" s="3">
        <v>3</v>
      </c>
    </row>
    <row r="239" spans="1:24" ht="12" customHeight="1" x14ac:dyDescent="0.55000000000000004">
      <c r="A239" s="14">
        <f>A238</f>
        <v>497</v>
      </c>
      <c r="B239" s="15"/>
      <c r="C239" s="19" t="s">
        <v>6</v>
      </c>
      <c r="D239" s="51">
        <v>2607.8000000000002</v>
      </c>
      <c r="E239" s="51"/>
      <c r="F239" s="51">
        <f>D239+E239</f>
        <v>2607.8000000000002</v>
      </c>
      <c r="G239" s="20">
        <v>2691.4</v>
      </c>
      <c r="H239" s="21"/>
      <c r="I239" s="21">
        <f>G239+H239</f>
        <v>2691.4</v>
      </c>
      <c r="X239" s="3">
        <v>4</v>
      </c>
    </row>
    <row r="240" spans="1:24" ht="12" customHeight="1" x14ac:dyDescent="0.55000000000000004">
      <c r="A240" s="10">
        <v>503</v>
      </c>
      <c r="B240" s="10" t="s">
        <v>2</v>
      </c>
      <c r="C240" s="11" t="s">
        <v>77</v>
      </c>
      <c r="D240" s="49">
        <f t="shared" ref="D240:I240" si="61">SUM(D241:D243)</f>
        <v>25065.599999999999</v>
      </c>
      <c r="E240" s="49">
        <f t="shared" si="61"/>
        <v>1170.0650000000001</v>
      </c>
      <c r="F240" s="49">
        <f t="shared" si="61"/>
        <v>26235.664999999997</v>
      </c>
      <c r="G240" s="13">
        <f t="shared" si="61"/>
        <v>25765.8</v>
      </c>
      <c r="H240" s="13">
        <f t="shared" si="61"/>
        <v>0</v>
      </c>
      <c r="I240" s="13">
        <f t="shared" si="61"/>
        <v>25765.8</v>
      </c>
      <c r="X240" s="3">
        <v>1</v>
      </c>
    </row>
    <row r="241" spans="1:24" ht="12" customHeight="1" x14ac:dyDescent="0.55000000000000004">
      <c r="A241" s="14">
        <f>A240</f>
        <v>503</v>
      </c>
      <c r="B241" s="15"/>
      <c r="C241" s="16" t="s">
        <v>4</v>
      </c>
      <c r="D241" s="50">
        <v>23740.6</v>
      </c>
      <c r="E241" s="50"/>
      <c r="F241" s="50">
        <f>D241+E241</f>
        <v>23740.6</v>
      </c>
      <c r="G241" s="18">
        <v>24440.799999999999</v>
      </c>
      <c r="H241" s="18"/>
      <c r="I241" s="18">
        <f>G241+H241</f>
        <v>24440.799999999999</v>
      </c>
      <c r="X241" s="3">
        <v>2</v>
      </c>
    </row>
    <row r="242" spans="1:24" ht="12" customHeight="1" x14ac:dyDescent="0.55000000000000004">
      <c r="A242" s="14">
        <f>A241</f>
        <v>503</v>
      </c>
      <c r="B242" s="15"/>
      <c r="C242" s="16" t="s">
        <v>5</v>
      </c>
      <c r="D242" s="50">
        <v>0</v>
      </c>
      <c r="E242" s="50">
        <v>1170.0650000000001</v>
      </c>
      <c r="F242" s="50">
        <f>D242+E242</f>
        <v>1170.0650000000001</v>
      </c>
      <c r="G242" s="18">
        <v>0</v>
      </c>
      <c r="H242" s="18"/>
      <c r="I242" s="18">
        <f>G242+H242</f>
        <v>0</v>
      </c>
      <c r="X242" s="3">
        <v>3</v>
      </c>
    </row>
    <row r="243" spans="1:24" ht="12" customHeight="1" x14ac:dyDescent="0.55000000000000004">
      <c r="A243" s="14">
        <f>A242</f>
        <v>503</v>
      </c>
      <c r="B243" s="15"/>
      <c r="C243" s="19" t="s">
        <v>6</v>
      </c>
      <c r="D243" s="51">
        <v>1325</v>
      </c>
      <c r="E243" s="51"/>
      <c r="F243" s="51">
        <f>D243+E243</f>
        <v>1325</v>
      </c>
      <c r="G243" s="21">
        <v>1325</v>
      </c>
      <c r="H243" s="21"/>
      <c r="I243" s="21">
        <f>G243+H243</f>
        <v>1325</v>
      </c>
      <c r="X243" s="3">
        <v>4</v>
      </c>
    </row>
    <row r="244" spans="1:24" ht="12" customHeight="1" x14ac:dyDescent="0.55000000000000004">
      <c r="A244" s="10">
        <v>506</v>
      </c>
      <c r="B244" s="10" t="s">
        <v>2</v>
      </c>
      <c r="C244" s="11" t="s">
        <v>78</v>
      </c>
      <c r="D244" s="52">
        <f t="shared" ref="D244:I244" si="62">SUM(D245:D247)</f>
        <v>27287.300000000003</v>
      </c>
      <c r="E244" s="49">
        <f t="shared" si="62"/>
        <v>0</v>
      </c>
      <c r="F244" s="49">
        <f t="shared" si="62"/>
        <v>27287.300000000003</v>
      </c>
      <c r="G244" s="12">
        <f t="shared" si="62"/>
        <v>27796</v>
      </c>
      <c r="H244" s="13">
        <f t="shared" si="62"/>
        <v>0</v>
      </c>
      <c r="I244" s="13">
        <f t="shared" si="62"/>
        <v>27796</v>
      </c>
      <c r="X244" s="3">
        <v>1</v>
      </c>
    </row>
    <row r="245" spans="1:24" ht="12" customHeight="1" x14ac:dyDescent="0.55000000000000004">
      <c r="A245" s="14">
        <f>A244</f>
        <v>506</v>
      </c>
      <c r="B245" s="15"/>
      <c r="C245" s="16" t="s">
        <v>4</v>
      </c>
      <c r="D245" s="53">
        <v>11672.2</v>
      </c>
      <c r="E245" s="50"/>
      <c r="F245" s="50">
        <f>D245+E245</f>
        <v>11672.2</v>
      </c>
      <c r="G245" s="17">
        <v>12190</v>
      </c>
      <c r="H245" s="18"/>
      <c r="I245" s="18">
        <f>G245+H245</f>
        <v>12190</v>
      </c>
      <c r="X245" s="3">
        <v>2</v>
      </c>
    </row>
    <row r="246" spans="1:24" ht="12" customHeight="1" x14ac:dyDescent="0.55000000000000004">
      <c r="A246" s="14">
        <f>A245</f>
        <v>506</v>
      </c>
      <c r="B246" s="15"/>
      <c r="C246" s="16" t="s">
        <v>5</v>
      </c>
      <c r="D246" s="53">
        <v>15615.1</v>
      </c>
      <c r="E246" s="50"/>
      <c r="F246" s="50">
        <f>D246+E246</f>
        <v>15615.1</v>
      </c>
      <c r="G246" s="17">
        <v>15606</v>
      </c>
      <c r="H246" s="18"/>
      <c r="I246" s="18">
        <f>G246+H246</f>
        <v>15606</v>
      </c>
      <c r="X246" s="3">
        <v>3</v>
      </c>
    </row>
    <row r="247" spans="1:24" ht="12" customHeight="1" x14ac:dyDescent="0.55000000000000004">
      <c r="A247" s="14">
        <f>A246</f>
        <v>506</v>
      </c>
      <c r="B247" s="15"/>
      <c r="C247" s="19" t="s">
        <v>6</v>
      </c>
      <c r="D247" s="54">
        <v>0</v>
      </c>
      <c r="E247" s="51"/>
      <c r="F247" s="51">
        <f>D247+E247</f>
        <v>0</v>
      </c>
      <c r="G247" s="20">
        <v>0</v>
      </c>
      <c r="H247" s="21"/>
      <c r="I247" s="21">
        <f>G247+H247</f>
        <v>0</v>
      </c>
      <c r="X247" s="3">
        <v>4</v>
      </c>
    </row>
    <row r="248" spans="1:24" ht="12" customHeight="1" x14ac:dyDescent="0.55000000000000004">
      <c r="A248" s="10">
        <v>507</v>
      </c>
      <c r="B248" s="10" t="s">
        <v>2</v>
      </c>
      <c r="C248" s="11" t="s">
        <v>79</v>
      </c>
      <c r="D248" s="49">
        <f t="shared" ref="D248:I248" si="63">SUM(D249:D251)</f>
        <v>620863.4</v>
      </c>
      <c r="E248" s="49">
        <f t="shared" si="63"/>
        <v>0</v>
      </c>
      <c r="F248" s="49">
        <f t="shared" si="63"/>
        <v>620863.4</v>
      </c>
      <c r="G248" s="12">
        <f t="shared" si="63"/>
        <v>644263.4</v>
      </c>
      <c r="H248" s="13">
        <f t="shared" si="63"/>
        <v>0</v>
      </c>
      <c r="I248" s="13">
        <f t="shared" si="63"/>
        <v>644263.4</v>
      </c>
      <c r="X248" s="3">
        <v>1</v>
      </c>
    </row>
    <row r="249" spans="1:24" ht="12" customHeight="1" x14ac:dyDescent="0.55000000000000004">
      <c r="A249" s="14">
        <f>A248</f>
        <v>507</v>
      </c>
      <c r="B249" s="15"/>
      <c r="C249" s="16" t="s">
        <v>4</v>
      </c>
      <c r="D249" s="50">
        <v>4800</v>
      </c>
      <c r="E249" s="50"/>
      <c r="F249" s="50">
        <f>D249+E249</f>
        <v>4800</v>
      </c>
      <c r="G249" s="17">
        <v>4800</v>
      </c>
      <c r="H249" s="18"/>
      <c r="I249" s="18">
        <f>G249+H249</f>
        <v>4800</v>
      </c>
      <c r="X249" s="3">
        <v>2</v>
      </c>
    </row>
    <row r="250" spans="1:24" ht="12" customHeight="1" x14ac:dyDescent="0.55000000000000004">
      <c r="A250" s="14">
        <f>A249</f>
        <v>507</v>
      </c>
      <c r="B250" s="15"/>
      <c r="C250" s="16" t="s">
        <v>5</v>
      </c>
      <c r="D250" s="50">
        <v>616063.4</v>
      </c>
      <c r="E250" s="50"/>
      <c r="F250" s="50">
        <f>D250+E250</f>
        <v>616063.4</v>
      </c>
      <c r="G250" s="18">
        <v>639463.4</v>
      </c>
      <c r="H250" s="18"/>
      <c r="I250" s="18">
        <f>G250+H250</f>
        <v>639463.4</v>
      </c>
      <c r="X250" s="3">
        <v>3</v>
      </c>
    </row>
    <row r="251" spans="1:24" ht="12" customHeight="1" x14ac:dyDescent="0.55000000000000004">
      <c r="A251" s="14">
        <f>A250</f>
        <v>507</v>
      </c>
      <c r="B251" s="15"/>
      <c r="C251" s="19" t="s">
        <v>6</v>
      </c>
      <c r="D251" s="51">
        <v>0</v>
      </c>
      <c r="E251" s="51"/>
      <c r="F251" s="51">
        <f>D251+E251</f>
        <v>0</v>
      </c>
      <c r="G251" s="21">
        <v>0</v>
      </c>
      <c r="H251" s="21"/>
      <c r="I251" s="21">
        <f>G251+H251</f>
        <v>0</v>
      </c>
      <c r="X251" s="3">
        <v>4</v>
      </c>
    </row>
    <row r="252" spans="1:24" ht="12" customHeight="1" x14ac:dyDescent="0.55000000000000004">
      <c r="A252" s="10">
        <v>511</v>
      </c>
      <c r="B252" s="10" t="s">
        <v>2</v>
      </c>
      <c r="C252" s="11" t="s">
        <v>80</v>
      </c>
      <c r="D252" s="49">
        <f t="shared" ref="D252:I252" si="64">SUM(D253:D255)</f>
        <v>47170.5</v>
      </c>
      <c r="E252" s="49">
        <f t="shared" si="64"/>
        <v>10342669.675000001</v>
      </c>
      <c r="F252" s="49">
        <f t="shared" si="64"/>
        <v>10389840.175000001</v>
      </c>
      <c r="G252" s="13">
        <f t="shared" si="64"/>
        <v>52531.5</v>
      </c>
      <c r="H252" s="13">
        <f t="shared" si="64"/>
        <v>9912005.5309999995</v>
      </c>
      <c r="I252" s="13">
        <f t="shared" si="64"/>
        <v>9964537.0309999995</v>
      </c>
      <c r="X252" s="3">
        <v>1</v>
      </c>
    </row>
    <row r="253" spans="1:24" ht="12" customHeight="1" x14ac:dyDescent="0.55000000000000004">
      <c r="A253" s="14">
        <f>A252</f>
        <v>511</v>
      </c>
      <c r="B253" s="15"/>
      <c r="C253" s="16" t="s">
        <v>4</v>
      </c>
      <c r="D253" s="50">
        <v>500</v>
      </c>
      <c r="E253" s="50"/>
      <c r="F253" s="50">
        <f>D253+E253</f>
        <v>500</v>
      </c>
      <c r="G253" s="18">
        <v>500</v>
      </c>
      <c r="H253" s="18"/>
      <c r="I253" s="18">
        <f>G253+H253</f>
        <v>500</v>
      </c>
      <c r="X253" s="3">
        <v>2</v>
      </c>
    </row>
    <row r="254" spans="1:24" ht="12" customHeight="1" x14ac:dyDescent="0.55000000000000004">
      <c r="A254" s="14">
        <f>A253</f>
        <v>511</v>
      </c>
      <c r="B254" s="15"/>
      <c r="C254" s="16" t="s">
        <v>5</v>
      </c>
      <c r="D254" s="50">
        <v>46670.5</v>
      </c>
      <c r="E254" s="50">
        <v>10342669.675000001</v>
      </c>
      <c r="F254" s="50">
        <f>D254+E254</f>
        <v>10389340.175000001</v>
      </c>
      <c r="G254" s="18">
        <v>52031.5</v>
      </c>
      <c r="H254" s="18">
        <v>9912005.5309999995</v>
      </c>
      <c r="I254" s="18">
        <f>G254+H254</f>
        <v>9964037.0309999995</v>
      </c>
      <c r="X254" s="3">
        <v>3</v>
      </c>
    </row>
    <row r="255" spans="1:24" ht="12" customHeight="1" x14ac:dyDescent="0.55000000000000004">
      <c r="A255" s="14">
        <f>A254</f>
        <v>511</v>
      </c>
      <c r="B255" s="15"/>
      <c r="C255" s="19" t="s">
        <v>6</v>
      </c>
      <c r="D255" s="51">
        <v>0</v>
      </c>
      <c r="E255" s="51"/>
      <c r="F255" s="51">
        <f>D255+E255</f>
        <v>0</v>
      </c>
      <c r="G255" s="21">
        <v>0</v>
      </c>
      <c r="H255" s="21"/>
      <c r="I255" s="21">
        <f>G255+H255</f>
        <v>0</v>
      </c>
      <c r="X255" s="3">
        <v>4</v>
      </c>
    </row>
    <row r="256" spans="1:24" ht="12" customHeight="1" x14ac:dyDescent="0.55000000000000004">
      <c r="A256" s="10">
        <v>517</v>
      </c>
      <c r="B256" s="10" t="s">
        <v>2</v>
      </c>
      <c r="C256" s="11" t="s">
        <v>81</v>
      </c>
      <c r="D256" s="49">
        <f t="shared" ref="D256:I256" si="65">SUM(D257:D259)</f>
        <v>510.2</v>
      </c>
      <c r="E256" s="49">
        <f t="shared" si="65"/>
        <v>0</v>
      </c>
      <c r="F256" s="49">
        <f t="shared" si="65"/>
        <v>510.2</v>
      </c>
      <c r="G256" s="13">
        <f t="shared" si="65"/>
        <v>535</v>
      </c>
      <c r="H256" s="13">
        <f t="shared" si="65"/>
        <v>0</v>
      </c>
      <c r="I256" s="13">
        <f t="shared" si="65"/>
        <v>535</v>
      </c>
      <c r="X256" s="3">
        <v>1</v>
      </c>
    </row>
    <row r="257" spans="1:24" ht="12" customHeight="1" x14ac:dyDescent="0.55000000000000004">
      <c r="A257" s="14">
        <f>A256</f>
        <v>517</v>
      </c>
      <c r="B257" s="15"/>
      <c r="C257" s="16" t="s">
        <v>4</v>
      </c>
      <c r="D257" s="50">
        <v>510.2</v>
      </c>
      <c r="E257" s="50"/>
      <c r="F257" s="50">
        <f>D257+E257</f>
        <v>510.2</v>
      </c>
      <c r="G257" s="18">
        <v>535</v>
      </c>
      <c r="H257" s="18"/>
      <c r="I257" s="18">
        <f>G257+H257</f>
        <v>535</v>
      </c>
      <c r="X257" s="3">
        <v>2</v>
      </c>
    </row>
    <row r="258" spans="1:24" ht="12" customHeight="1" x14ac:dyDescent="0.55000000000000004">
      <c r="A258" s="14">
        <f>A257</f>
        <v>517</v>
      </c>
      <c r="B258" s="15"/>
      <c r="C258" s="16" t="s">
        <v>5</v>
      </c>
      <c r="D258" s="50">
        <v>0</v>
      </c>
      <c r="E258" s="50"/>
      <c r="F258" s="50">
        <f>D258+E258</f>
        <v>0</v>
      </c>
      <c r="G258" s="18">
        <v>0</v>
      </c>
      <c r="H258" s="18"/>
      <c r="I258" s="18">
        <f>G258+H258</f>
        <v>0</v>
      </c>
      <c r="X258" s="3">
        <v>3</v>
      </c>
    </row>
    <row r="259" spans="1:24" ht="12" customHeight="1" x14ac:dyDescent="0.55000000000000004">
      <c r="A259" s="14">
        <f>A258</f>
        <v>517</v>
      </c>
      <c r="B259" s="15"/>
      <c r="C259" s="19" t="s">
        <v>6</v>
      </c>
      <c r="D259" s="51">
        <v>0</v>
      </c>
      <c r="E259" s="51"/>
      <c r="F259" s="51">
        <f>D259+E259</f>
        <v>0</v>
      </c>
      <c r="G259" s="21">
        <v>0</v>
      </c>
      <c r="H259" s="21"/>
      <c r="I259" s="21">
        <f>G259+H259</f>
        <v>0</v>
      </c>
      <c r="X259" s="3">
        <v>4</v>
      </c>
    </row>
    <row r="260" spans="1:24" ht="12" customHeight="1" x14ac:dyDescent="0.55000000000000004">
      <c r="A260" s="10">
        <v>520</v>
      </c>
      <c r="B260" s="10" t="s">
        <v>2</v>
      </c>
      <c r="C260" s="11" t="s">
        <v>82</v>
      </c>
      <c r="D260" s="49">
        <f t="shared" ref="D260:I260" si="66">SUM(D261:D263)</f>
        <v>0</v>
      </c>
      <c r="E260" s="49">
        <f t="shared" si="66"/>
        <v>0</v>
      </c>
      <c r="F260" s="49">
        <f t="shared" si="66"/>
        <v>0</v>
      </c>
      <c r="G260" s="12">
        <f t="shared" si="66"/>
        <v>0</v>
      </c>
      <c r="H260" s="13">
        <f t="shared" si="66"/>
        <v>0</v>
      </c>
      <c r="I260" s="13">
        <f t="shared" si="66"/>
        <v>0</v>
      </c>
      <c r="X260" s="3">
        <v>1</v>
      </c>
    </row>
    <row r="261" spans="1:24" ht="12" customHeight="1" x14ac:dyDescent="0.55000000000000004">
      <c r="A261" s="14">
        <f>A260</f>
        <v>520</v>
      </c>
      <c r="B261" s="15"/>
      <c r="C261" s="16" t="s">
        <v>4</v>
      </c>
      <c r="D261" s="50">
        <v>0</v>
      </c>
      <c r="E261" s="50"/>
      <c r="F261" s="50">
        <f>D261+E261</f>
        <v>0</v>
      </c>
      <c r="G261" s="17">
        <v>0</v>
      </c>
      <c r="H261" s="18"/>
      <c r="I261" s="18">
        <f>G261+H261</f>
        <v>0</v>
      </c>
      <c r="X261" s="3">
        <v>2</v>
      </c>
    </row>
    <row r="262" spans="1:24" ht="12" customHeight="1" x14ac:dyDescent="0.55000000000000004">
      <c r="A262" s="14">
        <f>A261</f>
        <v>520</v>
      </c>
      <c r="B262" s="15"/>
      <c r="C262" s="16" t="s">
        <v>5</v>
      </c>
      <c r="D262" s="50">
        <v>0</v>
      </c>
      <c r="E262" s="50"/>
      <c r="F262" s="50">
        <f>D262+E262</f>
        <v>0</v>
      </c>
      <c r="G262" s="17">
        <v>0</v>
      </c>
      <c r="H262" s="18"/>
      <c r="I262" s="18">
        <f>G262+H262</f>
        <v>0</v>
      </c>
      <c r="X262" s="3">
        <v>3</v>
      </c>
    </row>
    <row r="263" spans="1:24" ht="12" customHeight="1" x14ac:dyDescent="0.55000000000000004">
      <c r="A263" s="14">
        <f>A262</f>
        <v>520</v>
      </c>
      <c r="B263" s="15"/>
      <c r="C263" s="19" t="s">
        <v>6</v>
      </c>
      <c r="D263" s="51">
        <v>0</v>
      </c>
      <c r="E263" s="51"/>
      <c r="F263" s="51">
        <f>D263+E263</f>
        <v>0</v>
      </c>
      <c r="G263" s="20">
        <v>0</v>
      </c>
      <c r="H263" s="21"/>
      <c r="I263" s="21">
        <f>G263+H263</f>
        <v>0</v>
      </c>
      <c r="X263" s="3">
        <v>4</v>
      </c>
    </row>
    <row r="264" spans="1:24" ht="12" customHeight="1" x14ac:dyDescent="0.55000000000000004">
      <c r="A264" s="10">
        <v>524</v>
      </c>
      <c r="B264" s="10" t="s">
        <v>2</v>
      </c>
      <c r="C264" s="11" t="s">
        <v>83</v>
      </c>
      <c r="D264" s="52">
        <f t="shared" ref="D264:I264" si="67">SUM(D265:D267)</f>
        <v>81564.5</v>
      </c>
      <c r="E264" s="49">
        <f t="shared" si="67"/>
        <v>0</v>
      </c>
      <c r="F264" s="49">
        <f t="shared" si="67"/>
        <v>81564.5</v>
      </c>
      <c r="G264" s="13">
        <f t="shared" si="67"/>
        <v>80366.100000000006</v>
      </c>
      <c r="H264" s="13">
        <f t="shared" si="67"/>
        <v>0</v>
      </c>
      <c r="I264" s="13">
        <f t="shared" si="67"/>
        <v>80366.100000000006</v>
      </c>
      <c r="X264" s="3">
        <v>1</v>
      </c>
    </row>
    <row r="265" spans="1:24" ht="12" customHeight="1" x14ac:dyDescent="0.55000000000000004">
      <c r="A265" s="14">
        <f>A264</f>
        <v>524</v>
      </c>
      <c r="B265" s="15"/>
      <c r="C265" s="16" t="s">
        <v>4</v>
      </c>
      <c r="D265" s="53">
        <v>0</v>
      </c>
      <c r="E265" s="50"/>
      <c r="F265" s="50">
        <f>D265+E265</f>
        <v>0</v>
      </c>
      <c r="G265" s="18">
        <v>0</v>
      </c>
      <c r="H265" s="18"/>
      <c r="I265" s="18">
        <f>G265+H265</f>
        <v>0</v>
      </c>
      <c r="X265" s="3">
        <v>2</v>
      </c>
    </row>
    <row r="266" spans="1:24" ht="12" customHeight="1" x14ac:dyDescent="0.55000000000000004">
      <c r="A266" s="14">
        <f>A265</f>
        <v>524</v>
      </c>
      <c r="B266" s="15"/>
      <c r="C266" s="16" t="s">
        <v>5</v>
      </c>
      <c r="D266" s="53">
        <v>81564.5</v>
      </c>
      <c r="E266" s="50"/>
      <c r="F266" s="50">
        <f>D266+E266</f>
        <v>81564.5</v>
      </c>
      <c r="G266" s="18">
        <v>80116.100000000006</v>
      </c>
      <c r="H266" s="18"/>
      <c r="I266" s="18">
        <f>G266+H266</f>
        <v>80116.100000000006</v>
      </c>
      <c r="X266" s="3">
        <v>3</v>
      </c>
    </row>
    <row r="267" spans="1:24" ht="12" customHeight="1" x14ac:dyDescent="0.55000000000000004">
      <c r="A267" s="14">
        <f>A266</f>
        <v>524</v>
      </c>
      <c r="B267" s="15"/>
      <c r="C267" s="19" t="s">
        <v>6</v>
      </c>
      <c r="D267" s="54">
        <v>0</v>
      </c>
      <c r="E267" s="51"/>
      <c r="F267" s="51">
        <f>D267+E267</f>
        <v>0</v>
      </c>
      <c r="G267" s="21">
        <v>250</v>
      </c>
      <c r="H267" s="21"/>
      <c r="I267" s="21">
        <f>G267+H267</f>
        <v>250</v>
      </c>
      <c r="X267" s="3">
        <v>4</v>
      </c>
    </row>
    <row r="268" spans="1:24" ht="12" customHeight="1" x14ac:dyDescent="0.55000000000000004">
      <c r="A268" s="10">
        <v>526</v>
      </c>
      <c r="B268" s="10" t="s">
        <v>2</v>
      </c>
      <c r="C268" s="11" t="s">
        <v>84</v>
      </c>
      <c r="D268" s="49">
        <f t="shared" ref="D268:I268" si="68">SUM(D269:D271)</f>
        <v>908.7</v>
      </c>
      <c r="E268" s="49">
        <f t="shared" si="68"/>
        <v>0</v>
      </c>
      <c r="F268" s="49">
        <f t="shared" si="68"/>
        <v>908.7</v>
      </c>
      <c r="G268" s="12">
        <f t="shared" si="68"/>
        <v>1020</v>
      </c>
      <c r="H268" s="13">
        <f t="shared" si="68"/>
        <v>0</v>
      </c>
      <c r="I268" s="13">
        <f t="shared" si="68"/>
        <v>1020</v>
      </c>
      <c r="X268" s="3">
        <v>1</v>
      </c>
    </row>
    <row r="269" spans="1:24" ht="12" customHeight="1" x14ac:dyDescent="0.55000000000000004">
      <c r="A269" s="14">
        <f>A268</f>
        <v>526</v>
      </c>
      <c r="B269" s="15"/>
      <c r="C269" s="16" t="s">
        <v>4</v>
      </c>
      <c r="D269" s="50">
        <v>661.2</v>
      </c>
      <c r="E269" s="50"/>
      <c r="F269" s="50">
        <f>D269+E269</f>
        <v>661.2</v>
      </c>
      <c r="G269" s="17">
        <v>720</v>
      </c>
      <c r="H269" s="18"/>
      <c r="I269" s="18">
        <f>G269+H269</f>
        <v>720</v>
      </c>
      <c r="X269" s="3">
        <v>2</v>
      </c>
    </row>
    <row r="270" spans="1:24" ht="12" customHeight="1" x14ac:dyDescent="0.55000000000000004">
      <c r="A270" s="14">
        <f>A269</f>
        <v>526</v>
      </c>
      <c r="B270" s="15"/>
      <c r="C270" s="16" t="s">
        <v>5</v>
      </c>
      <c r="D270" s="50">
        <v>247.5</v>
      </c>
      <c r="E270" s="50"/>
      <c r="F270" s="50">
        <f>D270+E270</f>
        <v>247.5</v>
      </c>
      <c r="G270" s="17">
        <v>300</v>
      </c>
      <c r="H270" s="18"/>
      <c r="I270" s="18">
        <f>G270+H270</f>
        <v>300</v>
      </c>
      <c r="X270" s="3">
        <v>3</v>
      </c>
    </row>
    <row r="271" spans="1:24" ht="12" customHeight="1" x14ac:dyDescent="0.55000000000000004">
      <c r="A271" s="14">
        <f>A270</f>
        <v>526</v>
      </c>
      <c r="B271" s="15"/>
      <c r="C271" s="19" t="s">
        <v>6</v>
      </c>
      <c r="D271" s="51">
        <v>0</v>
      </c>
      <c r="E271" s="51"/>
      <c r="F271" s="51">
        <f>D271+E271</f>
        <v>0</v>
      </c>
      <c r="G271" s="20">
        <v>0</v>
      </c>
      <c r="H271" s="21"/>
      <c r="I271" s="21">
        <f>G271+H271</f>
        <v>0</v>
      </c>
      <c r="X271" s="3">
        <v>4</v>
      </c>
    </row>
    <row r="272" spans="1:24" ht="12" customHeight="1" x14ac:dyDescent="0.55000000000000004">
      <c r="A272" s="10">
        <v>532</v>
      </c>
      <c r="B272" s="10" t="s">
        <v>2</v>
      </c>
      <c r="C272" s="11" t="s">
        <v>85</v>
      </c>
      <c r="D272" s="49">
        <f t="shared" ref="D272:I272" si="69">SUM(D273:D275)</f>
        <v>937475.69200000004</v>
      </c>
      <c r="E272" s="49">
        <f t="shared" si="69"/>
        <v>5396881.8720000004</v>
      </c>
      <c r="F272" s="49">
        <f t="shared" si="69"/>
        <v>6334357.5640000012</v>
      </c>
      <c r="G272" s="13">
        <f t="shared" si="69"/>
        <v>666605.01800000004</v>
      </c>
      <c r="H272" s="13">
        <f t="shared" si="69"/>
        <v>5703057.0449999999</v>
      </c>
      <c r="I272" s="13">
        <f t="shared" si="69"/>
        <v>6369662.0630000001</v>
      </c>
      <c r="X272" s="3">
        <v>1</v>
      </c>
    </row>
    <row r="273" spans="1:24" ht="12" customHeight="1" x14ac:dyDescent="0.55000000000000004">
      <c r="A273" s="14">
        <f>A272</f>
        <v>532</v>
      </c>
      <c r="B273" s="15"/>
      <c r="C273" s="16" t="s">
        <v>4</v>
      </c>
      <c r="D273" s="50">
        <v>0</v>
      </c>
      <c r="E273" s="50"/>
      <c r="F273" s="50">
        <f>D273+E273</f>
        <v>0</v>
      </c>
      <c r="G273" s="18">
        <v>0</v>
      </c>
      <c r="H273" s="18"/>
      <c r="I273" s="18">
        <f>G273+H273</f>
        <v>0</v>
      </c>
      <c r="X273" s="3">
        <v>2</v>
      </c>
    </row>
    <row r="274" spans="1:24" ht="12" customHeight="1" x14ac:dyDescent="0.55000000000000004">
      <c r="A274" s="14">
        <f>A273</f>
        <v>532</v>
      </c>
      <c r="B274" s="15"/>
      <c r="C274" s="16" t="s">
        <v>5</v>
      </c>
      <c r="D274" s="50">
        <v>535672.83799999999</v>
      </c>
      <c r="E274" s="50">
        <v>4583421.8720000004</v>
      </c>
      <c r="F274" s="50">
        <f>D274+E274</f>
        <v>5119094.7100000009</v>
      </c>
      <c r="G274" s="18">
        <v>539500.67000000004</v>
      </c>
      <c r="H274" s="18">
        <v>4917097.0449999999</v>
      </c>
      <c r="I274" s="18">
        <f>G274+H274</f>
        <v>5456597.7149999999</v>
      </c>
      <c r="X274" s="3">
        <v>3</v>
      </c>
    </row>
    <row r="275" spans="1:24" ht="12" customHeight="1" x14ac:dyDescent="0.55000000000000004">
      <c r="A275" s="14">
        <f>A274</f>
        <v>532</v>
      </c>
      <c r="B275" s="15"/>
      <c r="C275" s="19" t="s">
        <v>6</v>
      </c>
      <c r="D275" s="51">
        <v>401802.85399999999</v>
      </c>
      <c r="E275" s="51">
        <v>813460</v>
      </c>
      <c r="F275" s="51">
        <f>D275+E275</f>
        <v>1215262.8540000001</v>
      </c>
      <c r="G275" s="21">
        <v>127104.348</v>
      </c>
      <c r="H275" s="21">
        <v>785960</v>
      </c>
      <c r="I275" s="21">
        <f>G275+H275</f>
        <v>913064.348</v>
      </c>
      <c r="X275" s="3">
        <v>4</v>
      </c>
    </row>
    <row r="276" spans="1:24" ht="12" customHeight="1" x14ac:dyDescent="0.55000000000000004">
      <c r="A276" s="10">
        <v>533</v>
      </c>
      <c r="B276" s="10" t="s">
        <v>2</v>
      </c>
      <c r="C276" s="11" t="s">
        <v>86</v>
      </c>
      <c r="D276" s="49">
        <f t="shared" ref="D276:I276" si="70">SUM(D277:D279)</f>
        <v>7275.2</v>
      </c>
      <c r="E276" s="49">
        <f t="shared" si="70"/>
        <v>0</v>
      </c>
      <c r="F276" s="49">
        <f t="shared" si="70"/>
        <v>7275.2</v>
      </c>
      <c r="G276" s="12">
        <f t="shared" si="70"/>
        <v>5780</v>
      </c>
      <c r="H276" s="13">
        <f t="shared" si="70"/>
        <v>0</v>
      </c>
      <c r="I276" s="13">
        <f t="shared" si="70"/>
        <v>5780</v>
      </c>
      <c r="X276" s="3">
        <v>1</v>
      </c>
    </row>
    <row r="277" spans="1:24" ht="12" customHeight="1" x14ac:dyDescent="0.55000000000000004">
      <c r="A277" s="14">
        <f>A276</f>
        <v>533</v>
      </c>
      <c r="B277" s="15"/>
      <c r="C277" s="16" t="s">
        <v>4</v>
      </c>
      <c r="D277" s="50">
        <v>3275.2</v>
      </c>
      <c r="E277" s="50"/>
      <c r="F277" s="50">
        <f>D277+E277</f>
        <v>3275.2</v>
      </c>
      <c r="G277" s="17">
        <v>5780</v>
      </c>
      <c r="H277" s="18"/>
      <c r="I277" s="18">
        <f>G277+H277</f>
        <v>5780</v>
      </c>
      <c r="X277" s="3">
        <v>2</v>
      </c>
    </row>
    <row r="278" spans="1:24" ht="12" customHeight="1" x14ac:dyDescent="0.55000000000000004">
      <c r="A278" s="14">
        <f>A277</f>
        <v>533</v>
      </c>
      <c r="B278" s="15"/>
      <c r="C278" s="16" t="s">
        <v>5</v>
      </c>
      <c r="D278" s="50">
        <v>4000</v>
      </c>
      <c r="E278" s="50"/>
      <c r="F278" s="50">
        <f>D278+E278</f>
        <v>4000</v>
      </c>
      <c r="G278" s="17">
        <v>0</v>
      </c>
      <c r="H278" s="18"/>
      <c r="I278" s="18">
        <f>G278+H278</f>
        <v>0</v>
      </c>
      <c r="X278" s="3">
        <v>3</v>
      </c>
    </row>
    <row r="279" spans="1:24" ht="12" customHeight="1" x14ac:dyDescent="0.55000000000000004">
      <c r="A279" s="14">
        <f>A278</f>
        <v>533</v>
      </c>
      <c r="B279" s="15"/>
      <c r="C279" s="19" t="s">
        <v>6</v>
      </c>
      <c r="D279" s="51">
        <v>0</v>
      </c>
      <c r="E279" s="51"/>
      <c r="F279" s="51">
        <f>D279+E279</f>
        <v>0</v>
      </c>
      <c r="G279" s="21">
        <v>0</v>
      </c>
      <c r="H279" s="21"/>
      <c r="I279" s="21">
        <f>G279+H279</f>
        <v>0</v>
      </c>
      <c r="X279" s="3">
        <v>4</v>
      </c>
    </row>
    <row r="280" spans="1:24" ht="12" customHeight="1" x14ac:dyDescent="0.55000000000000004">
      <c r="A280" s="10">
        <v>537</v>
      </c>
      <c r="B280" s="10" t="s">
        <v>2</v>
      </c>
      <c r="C280" s="11" t="s">
        <v>87</v>
      </c>
      <c r="D280" s="49">
        <f t="shared" ref="D280:I280" si="71">SUM(D281:D283)</f>
        <v>17412.100000000002</v>
      </c>
      <c r="E280" s="49">
        <f t="shared" si="71"/>
        <v>0</v>
      </c>
      <c r="F280" s="49">
        <f t="shared" si="71"/>
        <v>17412.100000000002</v>
      </c>
      <c r="G280" s="13">
        <f t="shared" si="71"/>
        <v>17859.7</v>
      </c>
      <c r="H280" s="13">
        <f t="shared" si="71"/>
        <v>0</v>
      </c>
      <c r="I280" s="13">
        <f t="shared" si="71"/>
        <v>17859.7</v>
      </c>
      <c r="X280" s="3">
        <v>1</v>
      </c>
    </row>
    <row r="281" spans="1:24" ht="12" customHeight="1" x14ac:dyDescent="0.55000000000000004">
      <c r="A281" s="14">
        <f>A280</f>
        <v>537</v>
      </c>
      <c r="B281" s="15"/>
      <c r="C281" s="16" t="s">
        <v>4</v>
      </c>
      <c r="D281" s="50">
        <v>14414.2</v>
      </c>
      <c r="E281" s="50"/>
      <c r="F281" s="50">
        <f>D281+E281</f>
        <v>14414.2</v>
      </c>
      <c r="G281" s="18">
        <v>14861.8</v>
      </c>
      <c r="H281" s="18"/>
      <c r="I281" s="18">
        <f>G281+H281</f>
        <v>14861.8</v>
      </c>
      <c r="X281" s="3">
        <v>2</v>
      </c>
    </row>
    <row r="282" spans="1:24" ht="12" customHeight="1" x14ac:dyDescent="0.55000000000000004">
      <c r="A282" s="14">
        <f>A281</f>
        <v>537</v>
      </c>
      <c r="B282" s="15"/>
      <c r="C282" s="16" t="s">
        <v>5</v>
      </c>
      <c r="D282" s="50">
        <v>2997.9</v>
      </c>
      <c r="E282" s="50"/>
      <c r="F282" s="50">
        <f>D282+E282</f>
        <v>2997.9</v>
      </c>
      <c r="G282" s="18">
        <v>2997.9</v>
      </c>
      <c r="H282" s="18"/>
      <c r="I282" s="18">
        <f>G282+H282</f>
        <v>2997.9</v>
      </c>
      <c r="X282" s="3">
        <v>3</v>
      </c>
    </row>
    <row r="283" spans="1:24" ht="12" customHeight="1" x14ac:dyDescent="0.55000000000000004">
      <c r="A283" s="14">
        <f>A282</f>
        <v>537</v>
      </c>
      <c r="B283" s="15"/>
      <c r="C283" s="19" t="s">
        <v>6</v>
      </c>
      <c r="D283" s="51">
        <v>0</v>
      </c>
      <c r="E283" s="51"/>
      <c r="F283" s="51">
        <f>D283+E283</f>
        <v>0</v>
      </c>
      <c r="G283" s="21">
        <v>0</v>
      </c>
      <c r="H283" s="21"/>
      <c r="I283" s="21">
        <f>G283+H283</f>
        <v>0</v>
      </c>
      <c r="X283" s="3">
        <v>4</v>
      </c>
    </row>
    <row r="284" spans="1:24" ht="12" customHeight="1" x14ac:dyDescent="0.55000000000000004">
      <c r="A284" s="10">
        <v>542</v>
      </c>
      <c r="B284" s="10" t="s">
        <v>2</v>
      </c>
      <c r="C284" s="11" t="s">
        <v>88</v>
      </c>
      <c r="D284" s="49">
        <f t="shared" ref="D284:I284" si="72">SUM(D285:D287)</f>
        <v>5411.1</v>
      </c>
      <c r="E284" s="49">
        <f t="shared" si="72"/>
        <v>0</v>
      </c>
      <c r="F284" s="49">
        <f t="shared" si="72"/>
        <v>5411.1</v>
      </c>
      <c r="G284" s="13">
        <f t="shared" si="72"/>
        <v>5952.3</v>
      </c>
      <c r="H284" s="13">
        <f t="shared" si="72"/>
        <v>0</v>
      </c>
      <c r="I284" s="13">
        <f t="shared" si="72"/>
        <v>5952.3</v>
      </c>
      <c r="X284" s="3">
        <v>1</v>
      </c>
    </row>
    <row r="285" spans="1:24" ht="12" customHeight="1" x14ac:dyDescent="0.55000000000000004">
      <c r="A285" s="14">
        <f>A284</f>
        <v>542</v>
      </c>
      <c r="B285" s="15"/>
      <c r="C285" s="16" t="s">
        <v>4</v>
      </c>
      <c r="D285" s="50">
        <v>5411.1</v>
      </c>
      <c r="E285" s="50"/>
      <c r="F285" s="50">
        <f>D285+E285</f>
        <v>5411.1</v>
      </c>
      <c r="G285" s="18">
        <v>5952.3</v>
      </c>
      <c r="H285" s="18"/>
      <c r="I285" s="18">
        <f>G285+H285</f>
        <v>5952.3</v>
      </c>
      <c r="X285" s="3">
        <v>2</v>
      </c>
    </row>
    <row r="286" spans="1:24" ht="12" customHeight="1" x14ac:dyDescent="0.55000000000000004">
      <c r="A286" s="14">
        <f>A285</f>
        <v>542</v>
      </c>
      <c r="B286" s="15"/>
      <c r="C286" s="16" t="s">
        <v>5</v>
      </c>
      <c r="D286" s="50">
        <v>0</v>
      </c>
      <c r="E286" s="50"/>
      <c r="F286" s="50">
        <f>D286+E286</f>
        <v>0</v>
      </c>
      <c r="G286" s="17">
        <v>0</v>
      </c>
      <c r="H286" s="18"/>
      <c r="I286" s="18">
        <f>G286+H286</f>
        <v>0</v>
      </c>
      <c r="X286" s="3">
        <v>3</v>
      </c>
    </row>
    <row r="287" spans="1:24" ht="12" customHeight="1" x14ac:dyDescent="0.55000000000000004">
      <c r="A287" s="14">
        <f>A286</f>
        <v>542</v>
      </c>
      <c r="B287" s="15"/>
      <c r="C287" s="19" t="s">
        <v>6</v>
      </c>
      <c r="D287" s="51">
        <v>0</v>
      </c>
      <c r="E287" s="51"/>
      <c r="F287" s="51">
        <f>D287+E287</f>
        <v>0</v>
      </c>
      <c r="G287" s="20">
        <v>0</v>
      </c>
      <c r="H287" s="21"/>
      <c r="I287" s="21">
        <f>G287+H287</f>
        <v>0</v>
      </c>
      <c r="X287" s="3">
        <v>4</v>
      </c>
    </row>
    <row r="288" spans="1:24" ht="12" customHeight="1" x14ac:dyDescent="0.55000000000000004">
      <c r="A288" s="10">
        <v>546</v>
      </c>
      <c r="B288" s="10" t="s">
        <v>2</v>
      </c>
      <c r="C288" s="11" t="s">
        <v>89</v>
      </c>
      <c r="D288" s="52">
        <f t="shared" ref="D288:I288" si="73">SUM(D289:D291)</f>
        <v>530476.19799999997</v>
      </c>
      <c r="E288" s="49">
        <f t="shared" si="73"/>
        <v>0</v>
      </c>
      <c r="F288" s="49">
        <f t="shared" si="73"/>
        <v>530476.19799999997</v>
      </c>
      <c r="G288" s="13">
        <f t="shared" si="73"/>
        <v>494208.09699999995</v>
      </c>
      <c r="H288" s="13">
        <f t="shared" si="73"/>
        <v>0</v>
      </c>
      <c r="I288" s="13">
        <f t="shared" si="73"/>
        <v>494208.09699999995</v>
      </c>
      <c r="X288" s="3">
        <v>1</v>
      </c>
    </row>
    <row r="289" spans="1:24" ht="12" customHeight="1" x14ac:dyDescent="0.55000000000000004">
      <c r="A289" s="14">
        <f>A288</f>
        <v>546</v>
      </c>
      <c r="B289" s="15"/>
      <c r="C289" s="16" t="s">
        <v>4</v>
      </c>
      <c r="D289" s="53">
        <v>98843.15</v>
      </c>
      <c r="E289" s="50"/>
      <c r="F289" s="50">
        <f>D289+E289</f>
        <v>98843.15</v>
      </c>
      <c r="G289" s="18">
        <v>103766.65</v>
      </c>
      <c r="H289" s="18"/>
      <c r="I289" s="18">
        <f>G289+H289</f>
        <v>103766.65</v>
      </c>
      <c r="X289" s="3">
        <v>2</v>
      </c>
    </row>
    <row r="290" spans="1:24" ht="12" customHeight="1" x14ac:dyDescent="0.55000000000000004">
      <c r="A290" s="14">
        <f>A289</f>
        <v>546</v>
      </c>
      <c r="B290" s="15"/>
      <c r="C290" s="16" t="s">
        <v>5</v>
      </c>
      <c r="D290" s="53">
        <v>242033.6</v>
      </c>
      <c r="E290" s="50"/>
      <c r="F290" s="50">
        <f>D290+E290</f>
        <v>242033.6</v>
      </c>
      <c r="G290" s="18">
        <v>219528.3</v>
      </c>
      <c r="H290" s="18"/>
      <c r="I290" s="18">
        <f>G290+H290</f>
        <v>219528.3</v>
      </c>
      <c r="X290" s="3">
        <v>3</v>
      </c>
    </row>
    <row r="291" spans="1:24" ht="12" customHeight="1" x14ac:dyDescent="0.55000000000000004">
      <c r="A291" s="14">
        <f>A290</f>
        <v>546</v>
      </c>
      <c r="B291" s="15"/>
      <c r="C291" s="19" t="s">
        <v>6</v>
      </c>
      <c r="D291" s="54">
        <v>189599.448</v>
      </c>
      <c r="E291" s="51"/>
      <c r="F291" s="51">
        <f>D291+E291</f>
        <v>189599.448</v>
      </c>
      <c r="G291" s="21">
        <v>170913.147</v>
      </c>
      <c r="H291" s="21"/>
      <c r="I291" s="21">
        <f>G291+H291</f>
        <v>170913.147</v>
      </c>
      <c r="X291" s="3">
        <v>4</v>
      </c>
    </row>
    <row r="292" spans="1:24" ht="12" customHeight="1" x14ac:dyDescent="0.55000000000000004">
      <c r="A292" s="10">
        <v>548</v>
      </c>
      <c r="B292" s="10" t="s">
        <v>2</v>
      </c>
      <c r="C292" s="11" t="s">
        <v>90</v>
      </c>
      <c r="D292" s="49">
        <f t="shared" ref="D292:I292" si="74">SUM(D293:D295)</f>
        <v>4185.5</v>
      </c>
      <c r="E292" s="49">
        <f t="shared" si="74"/>
        <v>0</v>
      </c>
      <c r="F292" s="49">
        <f t="shared" si="74"/>
        <v>4185.5</v>
      </c>
      <c r="G292" s="12">
        <f t="shared" si="74"/>
        <v>4649</v>
      </c>
      <c r="H292" s="13">
        <f t="shared" si="74"/>
        <v>0</v>
      </c>
      <c r="I292" s="13">
        <f t="shared" si="74"/>
        <v>4649</v>
      </c>
      <c r="X292" s="3">
        <v>1</v>
      </c>
    </row>
    <row r="293" spans="1:24" ht="12" customHeight="1" x14ac:dyDescent="0.55000000000000004">
      <c r="A293" s="14">
        <f>A292</f>
        <v>548</v>
      </c>
      <c r="B293" s="15"/>
      <c r="C293" s="16" t="s">
        <v>4</v>
      </c>
      <c r="D293" s="50">
        <v>0</v>
      </c>
      <c r="E293" s="50"/>
      <c r="F293" s="50">
        <f>D293+E293</f>
        <v>0</v>
      </c>
      <c r="G293" s="17">
        <v>0</v>
      </c>
      <c r="H293" s="18"/>
      <c r="I293" s="18">
        <f>G293+H293</f>
        <v>0</v>
      </c>
      <c r="X293" s="3">
        <v>2</v>
      </c>
    </row>
    <row r="294" spans="1:24" ht="12" customHeight="1" x14ac:dyDescent="0.55000000000000004">
      <c r="A294" s="14">
        <f>A293</f>
        <v>548</v>
      </c>
      <c r="B294" s="15"/>
      <c r="C294" s="16" t="s">
        <v>5</v>
      </c>
      <c r="D294" s="50">
        <v>4185.5</v>
      </c>
      <c r="E294" s="50"/>
      <c r="F294" s="50">
        <f>D294+E294</f>
        <v>4185.5</v>
      </c>
      <c r="G294" s="17">
        <v>4649</v>
      </c>
      <c r="H294" s="18"/>
      <c r="I294" s="18">
        <f>G294+H294</f>
        <v>4649</v>
      </c>
      <c r="X294" s="3">
        <v>3</v>
      </c>
    </row>
    <row r="295" spans="1:24" ht="12" customHeight="1" x14ac:dyDescent="0.55000000000000004">
      <c r="A295" s="14">
        <f>A294</f>
        <v>548</v>
      </c>
      <c r="B295" s="15"/>
      <c r="C295" s="19" t="s">
        <v>6</v>
      </c>
      <c r="D295" s="51">
        <v>0</v>
      </c>
      <c r="E295" s="51"/>
      <c r="F295" s="51">
        <f>D295+E295</f>
        <v>0</v>
      </c>
      <c r="G295" s="20">
        <v>0</v>
      </c>
      <c r="H295" s="21"/>
      <c r="I295" s="21">
        <f>G295+H295</f>
        <v>0</v>
      </c>
      <c r="X295" s="3">
        <v>4</v>
      </c>
    </row>
    <row r="296" spans="1:24" ht="12" customHeight="1" x14ac:dyDescent="0.55000000000000004">
      <c r="A296" s="10">
        <v>554</v>
      </c>
      <c r="B296" s="10" t="s">
        <v>2</v>
      </c>
      <c r="C296" s="11" t="s">
        <v>91</v>
      </c>
      <c r="D296" s="49">
        <f t="shared" ref="D296:I296" si="75">SUM(D297:D299)</f>
        <v>80724.600000000006</v>
      </c>
      <c r="E296" s="49">
        <f t="shared" si="75"/>
        <v>0</v>
      </c>
      <c r="F296" s="49">
        <f t="shared" si="75"/>
        <v>80724.600000000006</v>
      </c>
      <c r="G296" s="12">
        <f t="shared" si="75"/>
        <v>84037.4</v>
      </c>
      <c r="H296" s="13">
        <f t="shared" si="75"/>
        <v>0</v>
      </c>
      <c r="I296" s="13">
        <f t="shared" si="75"/>
        <v>84037.4</v>
      </c>
      <c r="X296" s="3">
        <v>1</v>
      </c>
    </row>
    <row r="297" spans="1:24" ht="12" customHeight="1" x14ac:dyDescent="0.55000000000000004">
      <c r="A297" s="14">
        <f>A296</f>
        <v>554</v>
      </c>
      <c r="B297" s="15"/>
      <c r="C297" s="16" t="s">
        <v>4</v>
      </c>
      <c r="D297" s="50">
        <v>0</v>
      </c>
      <c r="E297" s="50"/>
      <c r="F297" s="50">
        <f>D297+E297</f>
        <v>0</v>
      </c>
      <c r="G297" s="17">
        <v>0</v>
      </c>
      <c r="H297" s="18"/>
      <c r="I297" s="18">
        <f>G297+H297</f>
        <v>0</v>
      </c>
      <c r="X297" s="3">
        <v>2</v>
      </c>
    </row>
    <row r="298" spans="1:24" ht="12" customHeight="1" x14ac:dyDescent="0.55000000000000004">
      <c r="A298" s="14">
        <f>A297</f>
        <v>554</v>
      </c>
      <c r="B298" s="15"/>
      <c r="C298" s="16" t="s">
        <v>5</v>
      </c>
      <c r="D298" s="50">
        <v>80724.600000000006</v>
      </c>
      <c r="E298" s="50"/>
      <c r="F298" s="50">
        <f>D298+E298</f>
        <v>80724.600000000006</v>
      </c>
      <c r="G298" s="17">
        <v>84037.4</v>
      </c>
      <c r="H298" s="18"/>
      <c r="I298" s="18">
        <f>G298+H298</f>
        <v>84037.4</v>
      </c>
      <c r="X298" s="3">
        <v>3</v>
      </c>
    </row>
    <row r="299" spans="1:24" ht="12" customHeight="1" x14ac:dyDescent="0.55000000000000004">
      <c r="A299" s="14">
        <f>A298</f>
        <v>554</v>
      </c>
      <c r="B299" s="15"/>
      <c r="C299" s="19" t="s">
        <v>6</v>
      </c>
      <c r="D299" s="51">
        <v>0</v>
      </c>
      <c r="E299" s="51"/>
      <c r="F299" s="51">
        <f>D299+E299</f>
        <v>0</v>
      </c>
      <c r="G299" s="20">
        <v>0</v>
      </c>
      <c r="H299" s="21"/>
      <c r="I299" s="21">
        <f>G299+H299</f>
        <v>0</v>
      </c>
      <c r="X299" s="3">
        <v>4</v>
      </c>
    </row>
    <row r="300" spans="1:24" ht="12" customHeight="1" x14ac:dyDescent="0.55000000000000004">
      <c r="A300" s="10">
        <v>558</v>
      </c>
      <c r="B300" s="10" t="s">
        <v>2</v>
      </c>
      <c r="C300" s="11" t="s">
        <v>92</v>
      </c>
      <c r="D300" s="49">
        <f t="shared" ref="D300:I300" si="76">SUM(D301:D303)</f>
        <v>5131.5739999999996</v>
      </c>
      <c r="E300" s="49">
        <f t="shared" si="76"/>
        <v>0</v>
      </c>
      <c r="F300" s="49">
        <f t="shared" si="76"/>
        <v>5131.5739999999996</v>
      </c>
      <c r="G300" s="12">
        <f t="shared" si="76"/>
        <v>5159.5</v>
      </c>
      <c r="H300" s="13">
        <f t="shared" si="76"/>
        <v>0</v>
      </c>
      <c r="I300" s="13">
        <f t="shared" si="76"/>
        <v>5159.5</v>
      </c>
      <c r="X300" s="3">
        <v>1</v>
      </c>
    </row>
    <row r="301" spans="1:24" ht="12" customHeight="1" x14ac:dyDescent="0.55000000000000004">
      <c r="A301" s="14">
        <f>A300</f>
        <v>558</v>
      </c>
      <c r="B301" s="15"/>
      <c r="C301" s="16" t="s">
        <v>4</v>
      </c>
      <c r="D301" s="50">
        <v>70</v>
      </c>
      <c r="E301" s="50"/>
      <c r="F301" s="50">
        <f>D301+E301</f>
        <v>70</v>
      </c>
      <c r="G301" s="17">
        <v>200</v>
      </c>
      <c r="H301" s="18"/>
      <c r="I301" s="18">
        <f>G301+H301</f>
        <v>200</v>
      </c>
      <c r="X301" s="3">
        <v>2</v>
      </c>
    </row>
    <row r="302" spans="1:24" ht="12" customHeight="1" x14ac:dyDescent="0.55000000000000004">
      <c r="A302" s="14">
        <f>A301</f>
        <v>558</v>
      </c>
      <c r="B302" s="15"/>
      <c r="C302" s="16" t="s">
        <v>5</v>
      </c>
      <c r="D302" s="50">
        <v>0</v>
      </c>
      <c r="E302" s="50"/>
      <c r="F302" s="50">
        <f>D302+E302</f>
        <v>0</v>
      </c>
      <c r="G302" s="17">
        <v>0</v>
      </c>
      <c r="H302" s="18"/>
      <c r="I302" s="18">
        <f>G302+H302</f>
        <v>0</v>
      </c>
      <c r="X302" s="3">
        <v>3</v>
      </c>
    </row>
    <row r="303" spans="1:24" ht="12" customHeight="1" x14ac:dyDescent="0.55000000000000004">
      <c r="A303" s="14">
        <f>A302</f>
        <v>558</v>
      </c>
      <c r="B303" s="15"/>
      <c r="C303" s="19" t="s">
        <v>6</v>
      </c>
      <c r="D303" s="51">
        <v>5061.5739999999996</v>
      </c>
      <c r="E303" s="51"/>
      <c r="F303" s="51">
        <f>D303+E303</f>
        <v>5061.5739999999996</v>
      </c>
      <c r="G303" s="20">
        <v>4959.5</v>
      </c>
      <c r="H303" s="21"/>
      <c r="I303" s="21">
        <f>G303+H303</f>
        <v>4959.5</v>
      </c>
      <c r="X303" s="3">
        <v>4</v>
      </c>
    </row>
    <row r="304" spans="1:24" ht="12" customHeight="1" x14ac:dyDescent="0.55000000000000004">
      <c r="A304" s="10">
        <v>562</v>
      </c>
      <c r="B304" s="10" t="s">
        <v>2</v>
      </c>
      <c r="C304" s="11" t="s">
        <v>93</v>
      </c>
      <c r="D304" s="52">
        <f t="shared" ref="D304:I304" si="77">SUM(D305:D307)</f>
        <v>567</v>
      </c>
      <c r="E304" s="49">
        <f t="shared" si="77"/>
        <v>0</v>
      </c>
      <c r="F304" s="49">
        <f t="shared" si="77"/>
        <v>567</v>
      </c>
      <c r="G304" s="12">
        <f t="shared" si="77"/>
        <v>567</v>
      </c>
      <c r="H304" s="13">
        <f t="shared" si="77"/>
        <v>0</v>
      </c>
      <c r="I304" s="13">
        <f t="shared" si="77"/>
        <v>567</v>
      </c>
      <c r="X304" s="3">
        <v>1</v>
      </c>
    </row>
    <row r="305" spans="1:24" ht="12" customHeight="1" x14ac:dyDescent="0.55000000000000004">
      <c r="A305" s="14">
        <f>A304</f>
        <v>562</v>
      </c>
      <c r="B305" s="15"/>
      <c r="C305" s="16" t="s">
        <v>4</v>
      </c>
      <c r="D305" s="53">
        <v>567</v>
      </c>
      <c r="E305" s="50"/>
      <c r="F305" s="50">
        <f>D305+E305</f>
        <v>567</v>
      </c>
      <c r="G305" s="17">
        <v>567</v>
      </c>
      <c r="H305" s="18"/>
      <c r="I305" s="18">
        <f>G305+H305</f>
        <v>567</v>
      </c>
      <c r="X305" s="3">
        <v>2</v>
      </c>
    </row>
    <row r="306" spans="1:24" ht="12" customHeight="1" x14ac:dyDescent="0.55000000000000004">
      <c r="A306" s="14">
        <f>A305</f>
        <v>562</v>
      </c>
      <c r="B306" s="15"/>
      <c r="C306" s="16" t="s">
        <v>5</v>
      </c>
      <c r="D306" s="53">
        <v>0</v>
      </c>
      <c r="E306" s="50"/>
      <c r="F306" s="50">
        <f>D306+E306</f>
        <v>0</v>
      </c>
      <c r="G306" s="17">
        <v>0</v>
      </c>
      <c r="H306" s="18"/>
      <c r="I306" s="18">
        <f>G306+H306</f>
        <v>0</v>
      </c>
      <c r="X306" s="3">
        <v>3</v>
      </c>
    </row>
    <row r="307" spans="1:24" ht="12" customHeight="1" x14ac:dyDescent="0.55000000000000004">
      <c r="A307" s="14">
        <f>A306</f>
        <v>562</v>
      </c>
      <c r="B307" s="15"/>
      <c r="C307" s="19" t="s">
        <v>6</v>
      </c>
      <c r="D307" s="54">
        <v>0</v>
      </c>
      <c r="E307" s="51"/>
      <c r="F307" s="51">
        <f>D307+E307</f>
        <v>0</v>
      </c>
      <c r="G307" s="20">
        <v>0</v>
      </c>
      <c r="H307" s="21"/>
      <c r="I307" s="21">
        <f>G307+H307</f>
        <v>0</v>
      </c>
      <c r="X307" s="3">
        <v>4</v>
      </c>
    </row>
    <row r="308" spans="1:24" ht="12" customHeight="1" x14ac:dyDescent="0.55000000000000004">
      <c r="A308" s="10">
        <v>563</v>
      </c>
      <c r="B308" s="10" t="s">
        <v>2</v>
      </c>
      <c r="C308" s="11" t="s">
        <v>94</v>
      </c>
      <c r="D308" s="52">
        <f t="shared" ref="D308:I308" si="78">SUM(D309:D311)</f>
        <v>30666.9</v>
      </c>
      <c r="E308" s="49">
        <f t="shared" si="78"/>
        <v>0</v>
      </c>
      <c r="F308" s="49">
        <f t="shared" si="78"/>
        <v>30666.9</v>
      </c>
      <c r="G308" s="13">
        <f t="shared" si="78"/>
        <v>31010.9</v>
      </c>
      <c r="H308" s="13">
        <f t="shared" si="78"/>
        <v>0</v>
      </c>
      <c r="I308" s="13">
        <f t="shared" si="78"/>
        <v>31010.9</v>
      </c>
      <c r="X308" s="3">
        <v>1</v>
      </c>
    </row>
    <row r="309" spans="1:24" ht="12" customHeight="1" x14ac:dyDescent="0.55000000000000004">
      <c r="A309" s="14">
        <f>A308</f>
        <v>563</v>
      </c>
      <c r="B309" s="15"/>
      <c r="C309" s="16" t="s">
        <v>4</v>
      </c>
      <c r="D309" s="53">
        <v>0</v>
      </c>
      <c r="E309" s="50"/>
      <c r="F309" s="50">
        <f>D309+E309</f>
        <v>0</v>
      </c>
      <c r="G309" s="18">
        <v>0</v>
      </c>
      <c r="H309" s="18"/>
      <c r="I309" s="18">
        <f>G309+H309</f>
        <v>0</v>
      </c>
      <c r="X309" s="3">
        <v>2</v>
      </c>
    </row>
    <row r="310" spans="1:24" ht="12" customHeight="1" x14ac:dyDescent="0.55000000000000004">
      <c r="A310" s="14">
        <f>A309</f>
        <v>563</v>
      </c>
      <c r="B310" s="15"/>
      <c r="C310" s="16" t="s">
        <v>5</v>
      </c>
      <c r="D310" s="53">
        <v>30666.9</v>
      </c>
      <c r="E310" s="50"/>
      <c r="F310" s="50">
        <f>D310+E310</f>
        <v>30666.9</v>
      </c>
      <c r="G310" s="18">
        <v>31010.9</v>
      </c>
      <c r="H310" s="18"/>
      <c r="I310" s="18">
        <f>G310+H310</f>
        <v>31010.9</v>
      </c>
      <c r="X310" s="3">
        <v>3</v>
      </c>
    </row>
    <row r="311" spans="1:24" ht="12" customHeight="1" x14ac:dyDescent="0.55000000000000004">
      <c r="A311" s="14">
        <f>A310</f>
        <v>563</v>
      </c>
      <c r="B311" s="15"/>
      <c r="C311" s="19" t="s">
        <v>6</v>
      </c>
      <c r="D311" s="54">
        <v>0</v>
      </c>
      <c r="E311" s="51"/>
      <c r="F311" s="51">
        <f>D311+E311</f>
        <v>0</v>
      </c>
      <c r="G311" s="21">
        <v>0</v>
      </c>
      <c r="H311" s="21"/>
      <c r="I311" s="21">
        <f>G311+H311</f>
        <v>0</v>
      </c>
      <c r="X311" s="3">
        <v>4</v>
      </c>
    </row>
    <row r="312" spans="1:24" ht="12" customHeight="1" x14ac:dyDescent="0.55000000000000004">
      <c r="A312" s="10">
        <v>564</v>
      </c>
      <c r="B312" s="10" t="s">
        <v>2</v>
      </c>
      <c r="C312" s="11" t="s">
        <v>95</v>
      </c>
      <c r="D312" s="49">
        <f t="shared" ref="D312:I312" si="79">SUM(D313:D315)</f>
        <v>670.7</v>
      </c>
      <c r="E312" s="49">
        <f t="shared" si="79"/>
        <v>0</v>
      </c>
      <c r="F312" s="49">
        <f t="shared" si="79"/>
        <v>670.7</v>
      </c>
      <c r="G312" s="13">
        <f t="shared" si="79"/>
        <v>711</v>
      </c>
      <c r="H312" s="13">
        <f t="shared" si="79"/>
        <v>0</v>
      </c>
      <c r="I312" s="13">
        <f t="shared" si="79"/>
        <v>711</v>
      </c>
      <c r="X312" s="3">
        <v>1</v>
      </c>
    </row>
    <row r="313" spans="1:24" ht="12" customHeight="1" x14ac:dyDescent="0.55000000000000004">
      <c r="A313" s="14">
        <f>A312</f>
        <v>564</v>
      </c>
      <c r="B313" s="15"/>
      <c r="C313" s="16" t="s">
        <v>4</v>
      </c>
      <c r="D313" s="50">
        <v>594</v>
      </c>
      <c r="E313" s="50"/>
      <c r="F313" s="50">
        <f>D313+E313</f>
        <v>594</v>
      </c>
      <c r="G313" s="17">
        <v>628.29999999999995</v>
      </c>
      <c r="H313" s="18"/>
      <c r="I313" s="18">
        <f>G313+H313</f>
        <v>628.29999999999995</v>
      </c>
      <c r="X313" s="3">
        <v>2</v>
      </c>
    </row>
    <row r="314" spans="1:24" ht="12" customHeight="1" x14ac:dyDescent="0.55000000000000004">
      <c r="A314" s="14">
        <f>A313</f>
        <v>564</v>
      </c>
      <c r="B314" s="15"/>
      <c r="C314" s="16" t="s">
        <v>5</v>
      </c>
      <c r="D314" s="50">
        <v>76.7</v>
      </c>
      <c r="E314" s="50"/>
      <c r="F314" s="50">
        <f>D314+E314</f>
        <v>76.7</v>
      </c>
      <c r="G314" s="17">
        <v>82.7</v>
      </c>
      <c r="H314" s="18"/>
      <c r="I314" s="18">
        <f>G314+H314</f>
        <v>82.7</v>
      </c>
      <c r="X314" s="3">
        <v>3</v>
      </c>
    </row>
    <row r="315" spans="1:24" ht="12" customHeight="1" x14ac:dyDescent="0.55000000000000004">
      <c r="A315" s="14">
        <f>A314</f>
        <v>564</v>
      </c>
      <c r="B315" s="15"/>
      <c r="C315" s="19" t="s">
        <v>6</v>
      </c>
      <c r="D315" s="51">
        <v>0</v>
      </c>
      <c r="E315" s="51"/>
      <c r="F315" s="51">
        <f>D315+E315</f>
        <v>0</v>
      </c>
      <c r="G315" s="20">
        <v>0</v>
      </c>
      <c r="H315" s="21"/>
      <c r="I315" s="21">
        <f>G315+H315</f>
        <v>0</v>
      </c>
      <c r="X315" s="3">
        <v>4</v>
      </c>
    </row>
    <row r="316" spans="1:24" ht="12" customHeight="1" x14ac:dyDescent="0.55000000000000004">
      <c r="A316" s="10">
        <v>565</v>
      </c>
      <c r="B316" s="10" t="s">
        <v>2</v>
      </c>
      <c r="C316" s="11" t="s">
        <v>96</v>
      </c>
      <c r="D316" s="52">
        <f t="shared" ref="D316:I316" si="80">SUM(D317:D319)</f>
        <v>271440</v>
      </c>
      <c r="E316" s="49">
        <f t="shared" si="80"/>
        <v>0</v>
      </c>
      <c r="F316" s="49">
        <f t="shared" si="80"/>
        <v>271440</v>
      </c>
      <c r="G316" s="12">
        <f t="shared" si="80"/>
        <v>275745</v>
      </c>
      <c r="H316" s="13">
        <f t="shared" si="80"/>
        <v>0</v>
      </c>
      <c r="I316" s="13">
        <f t="shared" si="80"/>
        <v>275745</v>
      </c>
      <c r="X316" s="3">
        <v>1</v>
      </c>
    </row>
    <row r="317" spans="1:24" ht="12" customHeight="1" x14ac:dyDescent="0.55000000000000004">
      <c r="A317" s="14">
        <f>A316</f>
        <v>565</v>
      </c>
      <c r="B317" s="15"/>
      <c r="C317" s="16" t="s">
        <v>4</v>
      </c>
      <c r="D317" s="53">
        <v>0</v>
      </c>
      <c r="E317" s="50"/>
      <c r="F317" s="50">
        <f>D317+E317</f>
        <v>0</v>
      </c>
      <c r="G317" s="17">
        <v>0</v>
      </c>
      <c r="H317" s="18"/>
      <c r="I317" s="18">
        <f>G317+H317</f>
        <v>0</v>
      </c>
      <c r="X317" s="3">
        <v>2</v>
      </c>
    </row>
    <row r="318" spans="1:24" ht="12" customHeight="1" x14ac:dyDescent="0.55000000000000004">
      <c r="A318" s="14">
        <f>A317</f>
        <v>565</v>
      </c>
      <c r="B318" s="15"/>
      <c r="C318" s="16" t="s">
        <v>5</v>
      </c>
      <c r="D318" s="50">
        <v>271440</v>
      </c>
      <c r="E318" s="50"/>
      <c r="F318" s="50">
        <f>D318+E318</f>
        <v>271440</v>
      </c>
      <c r="G318" s="18">
        <v>275745</v>
      </c>
      <c r="H318" s="18"/>
      <c r="I318" s="18">
        <f>G318+H318</f>
        <v>275745</v>
      </c>
      <c r="X318" s="3">
        <v>3</v>
      </c>
    </row>
    <row r="319" spans="1:24" ht="12" customHeight="1" x14ac:dyDescent="0.55000000000000004">
      <c r="A319" s="14">
        <f>A318</f>
        <v>565</v>
      </c>
      <c r="B319" s="15"/>
      <c r="C319" s="19" t="s">
        <v>6</v>
      </c>
      <c r="D319" s="54">
        <v>0</v>
      </c>
      <c r="E319" s="51"/>
      <c r="F319" s="51">
        <f>D319+E319</f>
        <v>0</v>
      </c>
      <c r="G319" s="20">
        <v>0</v>
      </c>
      <c r="H319" s="21"/>
      <c r="I319" s="21">
        <f>G319+H319</f>
        <v>0</v>
      </c>
      <c r="X319" s="3">
        <v>4</v>
      </c>
    </row>
    <row r="320" spans="1:24" ht="12" customHeight="1" x14ac:dyDescent="0.55000000000000004">
      <c r="A320" s="10">
        <v>567</v>
      </c>
      <c r="B320" s="10" t="s">
        <v>2</v>
      </c>
      <c r="C320" s="11" t="s">
        <v>97</v>
      </c>
      <c r="D320" s="52">
        <f t="shared" ref="D320:I320" si="81">SUM(D321:D323)</f>
        <v>13876.4</v>
      </c>
      <c r="E320" s="49">
        <f t="shared" si="81"/>
        <v>0</v>
      </c>
      <c r="F320" s="49">
        <f t="shared" si="81"/>
        <v>13876.4</v>
      </c>
      <c r="G320" s="12">
        <f t="shared" si="81"/>
        <v>13876.4</v>
      </c>
      <c r="H320" s="13">
        <f t="shared" si="81"/>
        <v>0</v>
      </c>
      <c r="I320" s="13">
        <f t="shared" si="81"/>
        <v>13876.4</v>
      </c>
      <c r="X320" s="3">
        <v>1</v>
      </c>
    </row>
    <row r="321" spans="1:24" ht="12" customHeight="1" x14ac:dyDescent="0.55000000000000004">
      <c r="A321" s="14">
        <f>A320</f>
        <v>567</v>
      </c>
      <c r="B321" s="15"/>
      <c r="C321" s="16" t="s">
        <v>4</v>
      </c>
      <c r="D321" s="53">
        <v>0</v>
      </c>
      <c r="E321" s="50"/>
      <c r="F321" s="50">
        <f>D321+E321</f>
        <v>0</v>
      </c>
      <c r="G321" s="17">
        <v>0</v>
      </c>
      <c r="H321" s="18"/>
      <c r="I321" s="18">
        <f>G321+H321</f>
        <v>0</v>
      </c>
      <c r="X321" s="3">
        <v>2</v>
      </c>
    </row>
    <row r="322" spans="1:24" ht="12" customHeight="1" x14ac:dyDescent="0.55000000000000004">
      <c r="A322" s="14">
        <f>A321</f>
        <v>567</v>
      </c>
      <c r="B322" s="15"/>
      <c r="C322" s="16" t="s">
        <v>5</v>
      </c>
      <c r="D322" s="53">
        <v>13876.4</v>
      </c>
      <c r="E322" s="50"/>
      <c r="F322" s="50">
        <f>D322+E322</f>
        <v>13876.4</v>
      </c>
      <c r="G322" s="17">
        <v>13876.4</v>
      </c>
      <c r="H322" s="18"/>
      <c r="I322" s="18">
        <f>G322+H322</f>
        <v>13876.4</v>
      </c>
      <c r="X322" s="3">
        <v>3</v>
      </c>
    </row>
    <row r="323" spans="1:24" ht="12" customHeight="1" x14ac:dyDescent="0.55000000000000004">
      <c r="A323" s="14">
        <f>A322</f>
        <v>567</v>
      </c>
      <c r="B323" s="15"/>
      <c r="C323" s="19" t="s">
        <v>6</v>
      </c>
      <c r="D323" s="54">
        <v>0</v>
      </c>
      <c r="E323" s="51"/>
      <c r="F323" s="51">
        <f>D323+E323</f>
        <v>0</v>
      </c>
      <c r="G323" s="20">
        <v>0</v>
      </c>
      <c r="H323" s="21"/>
      <c r="I323" s="21">
        <f>G323+H323</f>
        <v>0</v>
      </c>
      <c r="X323" s="3">
        <v>4</v>
      </c>
    </row>
    <row r="324" spans="1:24" ht="12" customHeight="1" x14ac:dyDescent="0.55000000000000004">
      <c r="A324" s="10">
        <v>569</v>
      </c>
      <c r="B324" s="10" t="s">
        <v>2</v>
      </c>
      <c r="C324" s="11" t="s">
        <v>98</v>
      </c>
      <c r="D324" s="52">
        <f t="shared" ref="D324:I324" si="82">SUM(D325:D327)</f>
        <v>147626.6</v>
      </c>
      <c r="E324" s="49">
        <f t="shared" si="82"/>
        <v>0</v>
      </c>
      <c r="F324" s="49">
        <f t="shared" si="82"/>
        <v>147626.6</v>
      </c>
      <c r="G324" s="13">
        <f t="shared" si="82"/>
        <v>128309.77099999999</v>
      </c>
      <c r="H324" s="13">
        <f t="shared" si="82"/>
        <v>0</v>
      </c>
      <c r="I324" s="13">
        <f t="shared" si="82"/>
        <v>128309.77099999999</v>
      </c>
      <c r="X324" s="3">
        <v>1</v>
      </c>
    </row>
    <row r="325" spans="1:24" ht="12" customHeight="1" x14ac:dyDescent="0.55000000000000004">
      <c r="A325" s="14">
        <f>A324</f>
        <v>569</v>
      </c>
      <c r="B325" s="15"/>
      <c r="C325" s="16" t="s">
        <v>4</v>
      </c>
      <c r="D325" s="53">
        <v>2000</v>
      </c>
      <c r="E325" s="50"/>
      <c r="F325" s="50">
        <f>D325+E325</f>
        <v>2000</v>
      </c>
      <c r="G325" s="18">
        <v>0</v>
      </c>
      <c r="H325" s="18"/>
      <c r="I325" s="18">
        <f>G325+H325</f>
        <v>0</v>
      </c>
      <c r="X325" s="3">
        <v>2</v>
      </c>
    </row>
    <row r="326" spans="1:24" ht="12" customHeight="1" x14ac:dyDescent="0.55000000000000004">
      <c r="A326" s="14">
        <f>A325</f>
        <v>569</v>
      </c>
      <c r="B326" s="15"/>
      <c r="C326" s="16" t="s">
        <v>5</v>
      </c>
      <c r="D326" s="53">
        <v>137626.6</v>
      </c>
      <c r="E326" s="50"/>
      <c r="F326" s="50">
        <f>D326+E326</f>
        <v>137626.6</v>
      </c>
      <c r="G326" s="18">
        <v>120309.77099999999</v>
      </c>
      <c r="H326" s="18"/>
      <c r="I326" s="18">
        <f>G326+H326</f>
        <v>120309.77099999999</v>
      </c>
      <c r="X326" s="3">
        <v>3</v>
      </c>
    </row>
    <row r="327" spans="1:24" ht="12" customHeight="1" x14ac:dyDescent="0.55000000000000004">
      <c r="A327" s="14">
        <f>A326</f>
        <v>569</v>
      </c>
      <c r="B327" s="15"/>
      <c r="C327" s="19" t="s">
        <v>6</v>
      </c>
      <c r="D327" s="51">
        <v>8000</v>
      </c>
      <c r="E327" s="51"/>
      <c r="F327" s="51">
        <f>D327+E327</f>
        <v>8000</v>
      </c>
      <c r="G327" s="21">
        <v>8000</v>
      </c>
      <c r="H327" s="21"/>
      <c r="I327" s="21">
        <f>G327+H327</f>
        <v>8000</v>
      </c>
      <c r="X327" s="3">
        <v>4</v>
      </c>
    </row>
    <row r="328" spans="1:24" ht="12" customHeight="1" x14ac:dyDescent="0.55000000000000004">
      <c r="A328" s="10">
        <v>574</v>
      </c>
      <c r="B328" s="10" t="s">
        <v>2</v>
      </c>
      <c r="C328" s="11" t="s">
        <v>99</v>
      </c>
      <c r="D328" s="49">
        <f t="shared" ref="D328:I328" si="83">SUM(D329:D331)</f>
        <v>295746.85600000003</v>
      </c>
      <c r="E328" s="49">
        <f t="shared" si="83"/>
        <v>0</v>
      </c>
      <c r="F328" s="49">
        <f t="shared" si="83"/>
        <v>295746.85600000003</v>
      </c>
      <c r="G328" s="12">
        <f t="shared" si="83"/>
        <v>278023.5</v>
      </c>
      <c r="H328" s="13">
        <f t="shared" si="83"/>
        <v>0</v>
      </c>
      <c r="I328" s="13">
        <f t="shared" si="83"/>
        <v>278023.5</v>
      </c>
      <c r="X328" s="3">
        <v>1</v>
      </c>
    </row>
    <row r="329" spans="1:24" ht="12" customHeight="1" x14ac:dyDescent="0.55000000000000004">
      <c r="A329" s="14">
        <f>A328</f>
        <v>574</v>
      </c>
      <c r="B329" s="15"/>
      <c r="C329" s="16" t="s">
        <v>4</v>
      </c>
      <c r="D329" s="50">
        <v>0</v>
      </c>
      <c r="E329" s="50"/>
      <c r="F329" s="50">
        <f>D329+E329</f>
        <v>0</v>
      </c>
      <c r="G329" s="17">
        <v>0</v>
      </c>
      <c r="H329" s="18"/>
      <c r="I329" s="18">
        <f>G329+H329</f>
        <v>0</v>
      </c>
      <c r="X329" s="3">
        <v>2</v>
      </c>
    </row>
    <row r="330" spans="1:24" ht="12" customHeight="1" x14ac:dyDescent="0.55000000000000004">
      <c r="A330" s="14">
        <f>A329</f>
        <v>574</v>
      </c>
      <c r="B330" s="15"/>
      <c r="C330" s="16" t="s">
        <v>5</v>
      </c>
      <c r="D330" s="50">
        <v>295746.85600000003</v>
      </c>
      <c r="E330" s="50"/>
      <c r="F330" s="50">
        <f>D330+E330</f>
        <v>295746.85600000003</v>
      </c>
      <c r="G330" s="17">
        <v>278023.5</v>
      </c>
      <c r="H330" s="18"/>
      <c r="I330" s="18">
        <f>G330+H330</f>
        <v>278023.5</v>
      </c>
      <c r="X330" s="3">
        <v>3</v>
      </c>
    </row>
    <row r="331" spans="1:24" ht="12" customHeight="1" x14ac:dyDescent="0.55000000000000004">
      <c r="A331" s="14">
        <f>A330</f>
        <v>574</v>
      </c>
      <c r="B331" s="15"/>
      <c r="C331" s="19" t="s">
        <v>6</v>
      </c>
      <c r="D331" s="51">
        <v>0</v>
      </c>
      <c r="E331" s="51"/>
      <c r="F331" s="51">
        <f>D331+E331</f>
        <v>0</v>
      </c>
      <c r="G331" s="20">
        <v>0</v>
      </c>
      <c r="H331" s="21"/>
      <c r="I331" s="21">
        <f>G331+H331</f>
        <v>0</v>
      </c>
      <c r="X331" s="3">
        <v>4</v>
      </c>
    </row>
    <row r="332" spans="1:24" ht="12" customHeight="1" x14ac:dyDescent="0.55000000000000004">
      <c r="A332" s="10">
        <v>578</v>
      </c>
      <c r="B332" s="10" t="s">
        <v>2</v>
      </c>
      <c r="C332" s="11" t="s">
        <v>100</v>
      </c>
      <c r="D332" s="49">
        <f t="shared" ref="D332:I332" si="84">SUM(D333:D335)</f>
        <v>5357.9</v>
      </c>
      <c r="E332" s="49">
        <f t="shared" si="84"/>
        <v>0</v>
      </c>
      <c r="F332" s="49">
        <f t="shared" si="84"/>
        <v>5357.9</v>
      </c>
      <c r="G332" s="13">
        <f t="shared" si="84"/>
        <v>5878.2</v>
      </c>
      <c r="H332" s="13">
        <f t="shared" si="84"/>
        <v>0</v>
      </c>
      <c r="I332" s="13">
        <f t="shared" si="84"/>
        <v>5878.2</v>
      </c>
      <c r="X332" s="3">
        <v>1</v>
      </c>
    </row>
    <row r="333" spans="1:24" ht="12" customHeight="1" x14ac:dyDescent="0.55000000000000004">
      <c r="A333" s="14">
        <f>A332</f>
        <v>578</v>
      </c>
      <c r="B333" s="15"/>
      <c r="C333" s="16" t="s">
        <v>4</v>
      </c>
      <c r="D333" s="50">
        <v>5172.8999999999996</v>
      </c>
      <c r="E333" s="50"/>
      <c r="F333" s="50">
        <f>D333+E333</f>
        <v>5172.8999999999996</v>
      </c>
      <c r="G333" s="18">
        <v>5693.2</v>
      </c>
      <c r="H333" s="18"/>
      <c r="I333" s="18">
        <f>G333+H333</f>
        <v>5693.2</v>
      </c>
      <c r="X333" s="3">
        <v>2</v>
      </c>
    </row>
    <row r="334" spans="1:24" ht="12" customHeight="1" x14ac:dyDescent="0.55000000000000004">
      <c r="A334" s="14">
        <f>A333</f>
        <v>578</v>
      </c>
      <c r="B334" s="15"/>
      <c r="C334" s="16" t="s">
        <v>5</v>
      </c>
      <c r="D334" s="50">
        <v>185</v>
      </c>
      <c r="E334" s="50"/>
      <c r="F334" s="50">
        <f>D334+E334</f>
        <v>185</v>
      </c>
      <c r="G334" s="18">
        <v>185</v>
      </c>
      <c r="H334" s="18"/>
      <c r="I334" s="18">
        <f>G334+H334</f>
        <v>185</v>
      </c>
      <c r="X334" s="3">
        <v>3</v>
      </c>
    </row>
    <row r="335" spans="1:24" ht="12" customHeight="1" x14ac:dyDescent="0.55000000000000004">
      <c r="A335" s="14">
        <f>A334</f>
        <v>578</v>
      </c>
      <c r="B335" s="15"/>
      <c r="C335" s="19" t="s">
        <v>6</v>
      </c>
      <c r="D335" s="51">
        <v>0</v>
      </c>
      <c r="E335" s="51"/>
      <c r="F335" s="51">
        <f>D335+E335</f>
        <v>0</v>
      </c>
      <c r="G335" s="21">
        <v>0</v>
      </c>
      <c r="H335" s="21"/>
      <c r="I335" s="21">
        <f>G335+H335</f>
        <v>0</v>
      </c>
      <c r="X335" s="3">
        <v>4</v>
      </c>
    </row>
    <row r="336" spans="1:24" ht="12" customHeight="1" x14ac:dyDescent="0.55000000000000004">
      <c r="A336" s="10">
        <v>579</v>
      </c>
      <c r="B336" s="10" t="s">
        <v>2</v>
      </c>
      <c r="C336" s="11" t="s">
        <v>101</v>
      </c>
      <c r="D336" s="52">
        <f t="shared" ref="D336:I336" si="85">SUM(D337:D339)</f>
        <v>4878.3999999999996</v>
      </c>
      <c r="E336" s="49">
        <f t="shared" si="85"/>
        <v>0</v>
      </c>
      <c r="F336" s="49">
        <f t="shared" si="85"/>
        <v>4878.3999999999996</v>
      </c>
      <c r="G336" s="12">
        <f t="shared" si="85"/>
        <v>5072.1000000000004</v>
      </c>
      <c r="H336" s="13">
        <f t="shared" si="85"/>
        <v>0</v>
      </c>
      <c r="I336" s="13">
        <f t="shared" si="85"/>
        <v>5072.1000000000004</v>
      </c>
      <c r="X336" s="3">
        <v>1</v>
      </c>
    </row>
    <row r="337" spans="1:24" ht="12" customHeight="1" x14ac:dyDescent="0.55000000000000004">
      <c r="A337" s="14">
        <f>A336</f>
        <v>579</v>
      </c>
      <c r="B337" s="15"/>
      <c r="C337" s="16" t="s">
        <v>4</v>
      </c>
      <c r="D337" s="53">
        <v>0</v>
      </c>
      <c r="E337" s="50"/>
      <c r="F337" s="50">
        <f>D337+E337</f>
        <v>0</v>
      </c>
      <c r="G337" s="17">
        <v>0</v>
      </c>
      <c r="H337" s="18"/>
      <c r="I337" s="18">
        <f>G337+H337</f>
        <v>0</v>
      </c>
      <c r="X337" s="3">
        <v>2</v>
      </c>
    </row>
    <row r="338" spans="1:24" ht="12" customHeight="1" x14ac:dyDescent="0.55000000000000004">
      <c r="A338" s="14">
        <f>A337</f>
        <v>579</v>
      </c>
      <c r="B338" s="15"/>
      <c r="C338" s="16" t="s">
        <v>5</v>
      </c>
      <c r="D338" s="53">
        <v>4878.3999999999996</v>
      </c>
      <c r="E338" s="50"/>
      <c r="F338" s="50">
        <f>D338+E338</f>
        <v>4878.3999999999996</v>
      </c>
      <c r="G338" s="17">
        <v>5072.1000000000004</v>
      </c>
      <c r="H338" s="18"/>
      <c r="I338" s="18">
        <f>G338+H338</f>
        <v>5072.1000000000004</v>
      </c>
      <c r="X338" s="3">
        <v>3</v>
      </c>
    </row>
    <row r="339" spans="1:24" ht="12" customHeight="1" x14ac:dyDescent="0.55000000000000004">
      <c r="A339" s="14">
        <f>A338</f>
        <v>579</v>
      </c>
      <c r="B339" s="15"/>
      <c r="C339" s="19" t="s">
        <v>6</v>
      </c>
      <c r="D339" s="54">
        <v>0</v>
      </c>
      <c r="E339" s="51"/>
      <c r="F339" s="51">
        <f>D339+E339</f>
        <v>0</v>
      </c>
      <c r="G339" s="20">
        <v>0</v>
      </c>
      <c r="H339" s="21"/>
      <c r="I339" s="21">
        <f>G339+H339</f>
        <v>0</v>
      </c>
      <c r="X339" s="3">
        <v>4</v>
      </c>
    </row>
    <row r="340" spans="1:24" ht="12" customHeight="1" x14ac:dyDescent="0.55000000000000004">
      <c r="A340" s="10">
        <v>580</v>
      </c>
      <c r="B340" s="10" t="s">
        <v>2</v>
      </c>
      <c r="C340" s="11" t="s">
        <v>102</v>
      </c>
      <c r="D340" s="52">
        <f t="shared" ref="D340:I340" si="86">SUM(D341:D343)</f>
        <v>13467.8</v>
      </c>
      <c r="E340" s="49">
        <f t="shared" si="86"/>
        <v>0</v>
      </c>
      <c r="F340" s="49">
        <f t="shared" si="86"/>
        <v>13467.8</v>
      </c>
      <c r="G340" s="13">
        <f t="shared" si="86"/>
        <v>13716.8</v>
      </c>
      <c r="H340" s="13">
        <f t="shared" si="86"/>
        <v>0</v>
      </c>
      <c r="I340" s="13">
        <f t="shared" si="86"/>
        <v>13716.8</v>
      </c>
      <c r="X340" s="3">
        <v>1</v>
      </c>
    </row>
    <row r="341" spans="1:24" ht="12" customHeight="1" x14ac:dyDescent="0.55000000000000004">
      <c r="A341" s="14">
        <f>A340</f>
        <v>580</v>
      </c>
      <c r="B341" s="15"/>
      <c r="C341" s="16" t="s">
        <v>4</v>
      </c>
      <c r="D341" s="53">
        <v>0</v>
      </c>
      <c r="E341" s="50"/>
      <c r="F341" s="50">
        <f>D341+E341</f>
        <v>0</v>
      </c>
      <c r="G341" s="18">
        <v>0</v>
      </c>
      <c r="H341" s="18"/>
      <c r="I341" s="18">
        <f>G341+H341</f>
        <v>0</v>
      </c>
      <c r="X341" s="3">
        <v>2</v>
      </c>
    </row>
    <row r="342" spans="1:24" ht="12" customHeight="1" x14ac:dyDescent="0.55000000000000004">
      <c r="A342" s="14">
        <f>A341</f>
        <v>580</v>
      </c>
      <c r="B342" s="15"/>
      <c r="C342" s="16" t="s">
        <v>5</v>
      </c>
      <c r="D342" s="53">
        <v>13467.8</v>
      </c>
      <c r="E342" s="50"/>
      <c r="F342" s="50">
        <f>D342+E342</f>
        <v>13467.8</v>
      </c>
      <c r="G342" s="18">
        <v>13716.8</v>
      </c>
      <c r="H342" s="18"/>
      <c r="I342" s="18">
        <f>G342+H342</f>
        <v>13716.8</v>
      </c>
      <c r="X342" s="3">
        <v>3</v>
      </c>
    </row>
    <row r="343" spans="1:24" ht="12" customHeight="1" x14ac:dyDescent="0.55000000000000004">
      <c r="A343" s="14">
        <f>A342</f>
        <v>580</v>
      </c>
      <c r="B343" s="15"/>
      <c r="C343" s="19" t="s">
        <v>6</v>
      </c>
      <c r="D343" s="54">
        <v>0</v>
      </c>
      <c r="E343" s="51"/>
      <c r="F343" s="51">
        <f>D343+E343</f>
        <v>0</v>
      </c>
      <c r="G343" s="21">
        <v>0</v>
      </c>
      <c r="H343" s="21"/>
      <c r="I343" s="21">
        <f>G343+H343</f>
        <v>0</v>
      </c>
      <c r="X343" s="3">
        <v>4</v>
      </c>
    </row>
    <row r="344" spans="1:24" ht="12" customHeight="1" x14ac:dyDescent="0.55000000000000004">
      <c r="A344" s="10">
        <v>588</v>
      </c>
      <c r="B344" s="10" t="s">
        <v>2</v>
      </c>
      <c r="C344" s="11" t="s">
        <v>103</v>
      </c>
      <c r="D344" s="52">
        <f t="shared" ref="D344:I344" si="87">SUM(D345:D347)</f>
        <v>2264166.2450000001</v>
      </c>
      <c r="E344" s="49">
        <f t="shared" si="87"/>
        <v>0</v>
      </c>
      <c r="F344" s="49">
        <f t="shared" si="87"/>
        <v>2264166.2450000001</v>
      </c>
      <c r="G344" s="13">
        <f t="shared" si="87"/>
        <v>2271194.86</v>
      </c>
      <c r="H344" s="13">
        <f t="shared" si="87"/>
        <v>0</v>
      </c>
      <c r="I344" s="13">
        <f t="shared" si="87"/>
        <v>2271194.86</v>
      </c>
      <c r="X344" s="3">
        <v>1</v>
      </c>
    </row>
    <row r="345" spans="1:24" ht="12" customHeight="1" x14ac:dyDescent="0.55000000000000004">
      <c r="A345" s="14">
        <f>A344</f>
        <v>588</v>
      </c>
      <c r="B345" s="15"/>
      <c r="C345" s="16" t="s">
        <v>4</v>
      </c>
      <c r="D345" s="53">
        <v>31934.799999999999</v>
      </c>
      <c r="E345" s="50"/>
      <c r="F345" s="50">
        <f>D345+E345</f>
        <v>31934.799999999999</v>
      </c>
      <c r="G345" s="18">
        <v>38247.5</v>
      </c>
      <c r="H345" s="18"/>
      <c r="I345" s="18">
        <f>G345+H345</f>
        <v>38247.5</v>
      </c>
      <c r="X345" s="3">
        <v>2</v>
      </c>
    </row>
    <row r="346" spans="1:24" ht="12" customHeight="1" x14ac:dyDescent="0.55000000000000004">
      <c r="A346" s="14">
        <f>A345</f>
        <v>588</v>
      </c>
      <c r="B346" s="15"/>
      <c r="C346" s="16" t="s">
        <v>5</v>
      </c>
      <c r="D346" s="53">
        <v>589565</v>
      </c>
      <c r="E346" s="50"/>
      <c r="F346" s="50">
        <f>D346+E346</f>
        <v>589565</v>
      </c>
      <c r="G346" s="18">
        <v>609020.69999999995</v>
      </c>
      <c r="H346" s="18"/>
      <c r="I346" s="18">
        <f>G346+H346</f>
        <v>609020.69999999995</v>
      </c>
      <c r="X346" s="3">
        <v>3</v>
      </c>
    </row>
    <row r="347" spans="1:24" ht="12" customHeight="1" x14ac:dyDescent="0.55000000000000004">
      <c r="A347" s="14">
        <f>A346</f>
        <v>588</v>
      </c>
      <c r="B347" s="15"/>
      <c r="C347" s="19" t="s">
        <v>6</v>
      </c>
      <c r="D347" s="54">
        <v>1642666.4450000001</v>
      </c>
      <c r="E347" s="51"/>
      <c r="F347" s="51">
        <f>D347+E347</f>
        <v>1642666.4450000001</v>
      </c>
      <c r="G347" s="21">
        <v>1623926.66</v>
      </c>
      <c r="H347" s="21"/>
      <c r="I347" s="21">
        <f>G347+H347</f>
        <v>1623926.66</v>
      </c>
      <c r="X347" s="3">
        <v>4</v>
      </c>
    </row>
    <row r="348" spans="1:24" ht="12" customHeight="1" x14ac:dyDescent="0.55000000000000004">
      <c r="A348" s="10">
        <v>589</v>
      </c>
      <c r="B348" s="10" t="s">
        <v>2</v>
      </c>
      <c r="C348" s="11" t="s">
        <v>104</v>
      </c>
      <c r="D348" s="52">
        <f t="shared" ref="D348:I348" si="88">SUM(D349:D351)</f>
        <v>2021496.9339999999</v>
      </c>
      <c r="E348" s="49">
        <f t="shared" si="88"/>
        <v>0</v>
      </c>
      <c r="F348" s="49">
        <f t="shared" si="88"/>
        <v>2021496.9339999999</v>
      </c>
      <c r="G348" s="13">
        <f t="shared" si="88"/>
        <v>1792352.42</v>
      </c>
      <c r="H348" s="13">
        <f t="shared" si="88"/>
        <v>0</v>
      </c>
      <c r="I348" s="13">
        <f t="shared" si="88"/>
        <v>1792352.42</v>
      </c>
      <c r="X348" s="3">
        <v>1</v>
      </c>
    </row>
    <row r="349" spans="1:24" ht="12" customHeight="1" x14ac:dyDescent="0.55000000000000004">
      <c r="A349" s="14">
        <f>A348</f>
        <v>589</v>
      </c>
      <c r="B349" s="15"/>
      <c r="C349" s="16" t="s">
        <v>4</v>
      </c>
      <c r="D349" s="53">
        <v>2021496.9339999999</v>
      </c>
      <c r="E349" s="50"/>
      <c r="F349" s="50">
        <f>D349+E349</f>
        <v>2021496.9339999999</v>
      </c>
      <c r="G349" s="18">
        <v>1792352.42</v>
      </c>
      <c r="H349" s="18"/>
      <c r="I349" s="18">
        <f>G349+H349</f>
        <v>1792352.42</v>
      </c>
      <c r="X349" s="3">
        <v>2</v>
      </c>
    </row>
    <row r="350" spans="1:24" ht="12" customHeight="1" x14ac:dyDescent="0.55000000000000004">
      <c r="A350" s="14">
        <f>A349</f>
        <v>589</v>
      </c>
      <c r="B350" s="15"/>
      <c r="C350" s="16" t="s">
        <v>5</v>
      </c>
      <c r="D350" s="53">
        <v>0</v>
      </c>
      <c r="E350" s="50"/>
      <c r="F350" s="50">
        <f>D350+E350</f>
        <v>0</v>
      </c>
      <c r="G350" s="18">
        <v>0</v>
      </c>
      <c r="H350" s="18"/>
      <c r="I350" s="18">
        <f>G350+H350</f>
        <v>0</v>
      </c>
      <c r="X350" s="3">
        <v>3</v>
      </c>
    </row>
    <row r="351" spans="1:24" ht="12" customHeight="1" x14ac:dyDescent="0.55000000000000004">
      <c r="A351" s="14">
        <f>A350</f>
        <v>589</v>
      </c>
      <c r="B351" s="15"/>
      <c r="C351" s="19" t="s">
        <v>6</v>
      </c>
      <c r="D351" s="54">
        <v>0</v>
      </c>
      <c r="E351" s="51"/>
      <c r="F351" s="51">
        <f>D351+E351</f>
        <v>0</v>
      </c>
      <c r="G351" s="21">
        <v>0</v>
      </c>
      <c r="H351" s="21"/>
      <c r="I351" s="21">
        <f>G351+H351</f>
        <v>0</v>
      </c>
      <c r="X351" s="3">
        <v>4</v>
      </c>
    </row>
    <row r="352" spans="1:24" ht="12" customHeight="1" x14ac:dyDescent="0.55000000000000004">
      <c r="A352" s="10">
        <v>590</v>
      </c>
      <c r="B352" s="10" t="s">
        <v>2</v>
      </c>
      <c r="C352" s="11" t="s">
        <v>105</v>
      </c>
      <c r="D352" s="49">
        <f t="shared" ref="D352:I352" si="89">SUM(D353:D355)</f>
        <v>2588.1</v>
      </c>
      <c r="E352" s="49">
        <f t="shared" si="89"/>
        <v>0</v>
      </c>
      <c r="F352" s="49">
        <f t="shared" si="89"/>
        <v>2588.1</v>
      </c>
      <c r="G352" s="12">
        <f t="shared" si="89"/>
        <v>2752.2</v>
      </c>
      <c r="H352" s="13">
        <f t="shared" si="89"/>
        <v>0</v>
      </c>
      <c r="I352" s="13">
        <f t="shared" si="89"/>
        <v>2752.2</v>
      </c>
      <c r="X352" s="3">
        <v>1</v>
      </c>
    </row>
    <row r="353" spans="1:25" ht="12" customHeight="1" x14ac:dyDescent="0.55000000000000004">
      <c r="A353" s="14">
        <f>A352</f>
        <v>590</v>
      </c>
      <c r="B353" s="15"/>
      <c r="C353" s="16" t="s">
        <v>4</v>
      </c>
      <c r="D353" s="50">
        <v>2588.1</v>
      </c>
      <c r="E353" s="50"/>
      <c r="F353" s="50">
        <f>D353+E353</f>
        <v>2588.1</v>
      </c>
      <c r="G353" s="17">
        <v>2752.2</v>
      </c>
      <c r="H353" s="18"/>
      <c r="I353" s="18">
        <f>G353+H353</f>
        <v>2752.2</v>
      </c>
      <c r="X353" s="3">
        <v>2</v>
      </c>
    </row>
    <row r="354" spans="1:25" ht="12" customHeight="1" x14ac:dyDescent="0.55000000000000004">
      <c r="A354" s="14">
        <f>A353</f>
        <v>590</v>
      </c>
      <c r="B354" s="15"/>
      <c r="C354" s="16" t="s">
        <v>5</v>
      </c>
      <c r="D354" s="50">
        <v>0</v>
      </c>
      <c r="E354" s="50"/>
      <c r="F354" s="50">
        <f>D354+E354</f>
        <v>0</v>
      </c>
      <c r="G354" s="17">
        <v>0</v>
      </c>
      <c r="H354" s="18"/>
      <c r="I354" s="18">
        <f>G354+H354</f>
        <v>0</v>
      </c>
      <c r="X354" s="3">
        <v>3</v>
      </c>
    </row>
    <row r="355" spans="1:25" ht="12" customHeight="1" x14ac:dyDescent="0.55000000000000004">
      <c r="A355" s="14">
        <f>A354</f>
        <v>590</v>
      </c>
      <c r="B355" s="15"/>
      <c r="C355" s="19" t="s">
        <v>6</v>
      </c>
      <c r="D355" s="51">
        <v>0</v>
      </c>
      <c r="E355" s="51"/>
      <c r="F355" s="51">
        <f>D355+E355</f>
        <v>0</v>
      </c>
      <c r="G355" s="20">
        <v>0</v>
      </c>
      <c r="H355" s="21"/>
      <c r="I355" s="21">
        <f>G355+H355</f>
        <v>0</v>
      </c>
      <c r="X355" s="3">
        <v>4</v>
      </c>
    </row>
    <row r="356" spans="1:25" ht="12" customHeight="1" x14ac:dyDescent="0.55000000000000004">
      <c r="A356" s="10">
        <v>591</v>
      </c>
      <c r="B356" s="10" t="s">
        <v>2</v>
      </c>
      <c r="C356" s="11" t="s">
        <v>106</v>
      </c>
      <c r="D356" s="52">
        <f t="shared" ref="D356:I356" si="90">SUM(D357:D359)</f>
        <v>4932.8999999999996</v>
      </c>
      <c r="E356" s="49">
        <f t="shared" si="90"/>
        <v>0</v>
      </c>
      <c r="F356" s="49">
        <f t="shared" si="90"/>
        <v>4932.8999999999996</v>
      </c>
      <c r="G356" s="12">
        <f t="shared" si="90"/>
        <v>4932.8999999999996</v>
      </c>
      <c r="H356" s="13">
        <f t="shared" si="90"/>
        <v>0</v>
      </c>
      <c r="I356" s="13">
        <f t="shared" si="90"/>
        <v>4932.8999999999996</v>
      </c>
      <c r="X356" s="3">
        <v>1</v>
      </c>
    </row>
    <row r="357" spans="1:25" ht="12" customHeight="1" x14ac:dyDescent="0.55000000000000004">
      <c r="A357" s="14">
        <f>A356</f>
        <v>591</v>
      </c>
      <c r="B357" s="15"/>
      <c r="C357" s="16" t="s">
        <v>4</v>
      </c>
      <c r="D357" s="53">
        <v>0</v>
      </c>
      <c r="E357" s="50"/>
      <c r="F357" s="50">
        <f>D357+E357</f>
        <v>0</v>
      </c>
      <c r="G357" s="17">
        <v>0</v>
      </c>
      <c r="H357" s="18"/>
      <c r="I357" s="18">
        <f>G357+H357</f>
        <v>0</v>
      </c>
      <c r="X357" s="3">
        <v>2</v>
      </c>
    </row>
    <row r="358" spans="1:25" ht="12" customHeight="1" x14ac:dyDescent="0.55000000000000004">
      <c r="A358" s="14">
        <f>A357</f>
        <v>591</v>
      </c>
      <c r="B358" s="15"/>
      <c r="C358" s="16" t="s">
        <v>5</v>
      </c>
      <c r="D358" s="53">
        <v>4932.8999999999996</v>
      </c>
      <c r="E358" s="50"/>
      <c r="F358" s="50">
        <f>D358+E358</f>
        <v>4932.8999999999996</v>
      </c>
      <c r="G358" s="17">
        <v>4932.8999999999996</v>
      </c>
      <c r="H358" s="18"/>
      <c r="I358" s="18">
        <f>G358+H358</f>
        <v>4932.8999999999996</v>
      </c>
      <c r="X358" s="3">
        <v>3</v>
      </c>
    </row>
    <row r="359" spans="1:25" ht="12" customHeight="1" x14ac:dyDescent="0.55000000000000004">
      <c r="A359" s="14">
        <f>A358</f>
        <v>591</v>
      </c>
      <c r="B359" s="15"/>
      <c r="C359" s="19" t="s">
        <v>6</v>
      </c>
      <c r="D359" s="54">
        <v>0</v>
      </c>
      <c r="E359" s="51"/>
      <c r="F359" s="51">
        <f>D359+E359</f>
        <v>0</v>
      </c>
      <c r="G359" s="20">
        <v>0</v>
      </c>
      <c r="H359" s="21"/>
      <c r="I359" s="21">
        <f>G359+H359</f>
        <v>0</v>
      </c>
      <c r="X359" s="3">
        <v>4</v>
      </c>
    </row>
    <row r="360" spans="1:25" ht="12" customHeight="1" x14ac:dyDescent="0.55000000000000004">
      <c r="A360" s="10">
        <v>592</v>
      </c>
      <c r="B360" s="10" t="s">
        <v>2</v>
      </c>
      <c r="C360" s="11" t="s">
        <v>107</v>
      </c>
      <c r="D360" s="52">
        <f t="shared" ref="D360:I360" si="91">SUM(D361:D363)</f>
        <v>69036.403000000006</v>
      </c>
      <c r="E360" s="49">
        <f t="shared" si="91"/>
        <v>0</v>
      </c>
      <c r="F360" s="49">
        <f t="shared" si="91"/>
        <v>69036.403000000006</v>
      </c>
      <c r="G360" s="13">
        <f t="shared" si="91"/>
        <v>73742.736999999994</v>
      </c>
      <c r="H360" s="13">
        <f t="shared" si="91"/>
        <v>0</v>
      </c>
      <c r="I360" s="13">
        <f t="shared" si="91"/>
        <v>73742.736999999994</v>
      </c>
      <c r="X360" s="3">
        <v>1</v>
      </c>
    </row>
    <row r="361" spans="1:25" ht="12" customHeight="1" x14ac:dyDescent="0.55000000000000004">
      <c r="A361" s="14">
        <f>A360</f>
        <v>592</v>
      </c>
      <c r="B361" s="15"/>
      <c r="C361" s="16" t="s">
        <v>4</v>
      </c>
      <c r="D361" s="53">
        <v>0</v>
      </c>
      <c r="E361" s="50"/>
      <c r="F361" s="50">
        <f>D361+E361</f>
        <v>0</v>
      </c>
      <c r="G361" s="18">
        <v>0</v>
      </c>
      <c r="H361" s="18"/>
      <c r="I361" s="18">
        <f>G361+H361</f>
        <v>0</v>
      </c>
      <c r="X361" s="3">
        <v>2</v>
      </c>
    </row>
    <row r="362" spans="1:25" ht="12" customHeight="1" x14ac:dyDescent="0.55000000000000004">
      <c r="A362" s="14">
        <f>A361</f>
        <v>592</v>
      </c>
      <c r="B362" s="15"/>
      <c r="C362" s="16" t="s">
        <v>5</v>
      </c>
      <c r="D362" s="53">
        <v>68036.403000000006</v>
      </c>
      <c r="E362" s="50"/>
      <c r="F362" s="50">
        <f>D362+E362</f>
        <v>68036.403000000006</v>
      </c>
      <c r="G362" s="18">
        <v>72742.736999999994</v>
      </c>
      <c r="H362" s="18"/>
      <c r="I362" s="18">
        <f>G362+H362</f>
        <v>72742.736999999994</v>
      </c>
      <c r="X362" s="3">
        <v>3</v>
      </c>
    </row>
    <row r="363" spans="1:25" ht="12" customHeight="1" x14ac:dyDescent="0.55000000000000004">
      <c r="A363" s="14">
        <f>A362</f>
        <v>592</v>
      </c>
      <c r="B363" s="15"/>
      <c r="C363" s="19" t="s">
        <v>6</v>
      </c>
      <c r="D363" s="54">
        <v>1000</v>
      </c>
      <c r="E363" s="51"/>
      <c r="F363" s="51">
        <f>D363+E363</f>
        <v>1000</v>
      </c>
      <c r="G363" s="21">
        <v>1000</v>
      </c>
      <c r="H363" s="21"/>
      <c r="I363" s="21">
        <f>G363+H363</f>
        <v>1000</v>
      </c>
      <c r="X363" s="3">
        <v>4</v>
      </c>
    </row>
    <row r="364" spans="1:25" ht="12" customHeight="1" x14ac:dyDescent="0.55000000000000004">
      <c r="A364" s="10"/>
      <c r="B364" s="10"/>
      <c r="C364" s="22" t="s">
        <v>13</v>
      </c>
      <c r="D364" s="55">
        <f>SUMIF($X$144:$X$363, $Y364,D$144:D$363)</f>
        <v>97174528.640000045</v>
      </c>
      <c r="E364" s="55">
        <f t="shared" ref="E364:F367" si="92">SUMIF($X$144:$X$363, $Y364,E$144:E$363)</f>
        <v>52804275.490000002</v>
      </c>
      <c r="F364" s="55">
        <f t="shared" si="92"/>
        <v>149978804.13000003</v>
      </c>
      <c r="G364" s="23">
        <f>SUMIF($X$144:$X$363, $Y364,G$144:G$363)</f>
        <v>101452524.64500004</v>
      </c>
      <c r="H364" s="23">
        <f t="shared" ref="H364:I367" si="93">SUMIF($X$144:$X$363, $Y364,H$144:H$363)</f>
        <v>54222736.557999998</v>
      </c>
      <c r="I364" s="23">
        <f t="shared" si="93"/>
        <v>155675261.20300001</v>
      </c>
      <c r="Y364" s="3">
        <v>1</v>
      </c>
    </row>
    <row r="365" spans="1:25" ht="12" customHeight="1" x14ac:dyDescent="0.55000000000000004">
      <c r="A365" s="14"/>
      <c r="B365" s="15"/>
      <c r="C365" s="24" t="s">
        <v>4</v>
      </c>
      <c r="D365" s="55">
        <f>SUMIF($X$144:$X$363, $Y365,D$144:D$363)</f>
        <v>28511136.376999997</v>
      </c>
      <c r="E365" s="55">
        <f t="shared" si="92"/>
        <v>0</v>
      </c>
      <c r="F365" s="55">
        <f t="shared" si="92"/>
        <v>28511136.376999997</v>
      </c>
      <c r="G365" s="23">
        <f>SUMIF($X$144:$X$363, $Y365,G$144:G$363)</f>
        <v>29174480.109000001</v>
      </c>
      <c r="H365" s="23">
        <f t="shared" si="93"/>
        <v>0</v>
      </c>
      <c r="I365" s="23">
        <f t="shared" si="93"/>
        <v>29174480.109000001</v>
      </c>
      <c r="Y365" s="3">
        <v>2</v>
      </c>
    </row>
    <row r="366" spans="1:25" ht="12" customHeight="1" x14ac:dyDescent="0.55000000000000004">
      <c r="A366" s="14"/>
      <c r="B366" s="15"/>
      <c r="C366" s="24" t="s">
        <v>5</v>
      </c>
      <c r="D366" s="55">
        <f>SUMIF($X$144:$X$363, $Y366,D$144:D$363)</f>
        <v>56803743.08699999</v>
      </c>
      <c r="E366" s="55">
        <f t="shared" si="92"/>
        <v>50079031.248000003</v>
      </c>
      <c r="F366" s="55">
        <f t="shared" si="92"/>
        <v>106882774.33500001</v>
      </c>
      <c r="G366" s="23">
        <f>SUMIF($X$144:$X$363, $Y366,G$144:G$363)</f>
        <v>61164288.439000003</v>
      </c>
      <c r="H366" s="23">
        <f t="shared" si="93"/>
        <v>51691761.225999996</v>
      </c>
      <c r="I366" s="23">
        <f t="shared" si="93"/>
        <v>112856049.66500004</v>
      </c>
      <c r="Y366" s="3">
        <v>3</v>
      </c>
    </row>
    <row r="367" spans="1:25" ht="12" customHeight="1" x14ac:dyDescent="0.55000000000000004">
      <c r="A367" s="14"/>
      <c r="B367" s="15"/>
      <c r="C367" s="27" t="s">
        <v>6</v>
      </c>
      <c r="D367" s="57">
        <f>SUMIF($X$144:$X$363, $Y367,D$144:D$363)</f>
        <v>11859649.176000001</v>
      </c>
      <c r="E367" s="57">
        <f t="shared" si="92"/>
        <v>2725244.2420000001</v>
      </c>
      <c r="F367" s="57">
        <f t="shared" si="92"/>
        <v>14584893.418</v>
      </c>
      <c r="G367" s="28">
        <f>SUMIF($X$144:$X$363, $Y367,G$144:G$363)</f>
        <v>11113756.096999999</v>
      </c>
      <c r="H367" s="28">
        <f t="shared" si="93"/>
        <v>2530975.3319999999</v>
      </c>
      <c r="I367" s="28">
        <f t="shared" si="93"/>
        <v>13644731.429</v>
      </c>
      <c r="Y367" s="3">
        <v>4</v>
      </c>
    </row>
    <row r="368" spans="1:25" ht="12" customHeight="1" x14ac:dyDescent="0.55000000000000004">
      <c r="A368" s="25"/>
      <c r="B368" s="25"/>
      <c r="C368" s="25" t="s">
        <v>14</v>
      </c>
      <c r="D368" s="56"/>
      <c r="E368" s="56"/>
      <c r="F368" s="56"/>
      <c r="G368" s="26"/>
      <c r="H368" s="26"/>
      <c r="I368" s="26"/>
    </row>
    <row r="369" spans="1:25" ht="12" customHeight="1" x14ac:dyDescent="0.55000000000000004">
      <c r="A369" s="10">
        <v>586</v>
      </c>
      <c r="B369" s="10" t="s">
        <v>2</v>
      </c>
      <c r="C369" s="11" t="s">
        <v>108</v>
      </c>
      <c r="D369" s="49">
        <f t="shared" ref="D369:I369" si="94">SUM(D370:D372)</f>
        <v>17467212.568</v>
      </c>
      <c r="E369" s="49">
        <f t="shared" si="94"/>
        <v>142547.60999999999</v>
      </c>
      <c r="F369" s="49">
        <f t="shared" si="94"/>
        <v>17609760.177999999</v>
      </c>
      <c r="G369" s="12">
        <f t="shared" si="94"/>
        <v>15847367.9</v>
      </c>
      <c r="H369" s="13">
        <f t="shared" si="94"/>
        <v>102057.842</v>
      </c>
      <c r="I369" s="13">
        <f t="shared" si="94"/>
        <v>15949425.742000001</v>
      </c>
      <c r="X369" s="3">
        <v>1</v>
      </c>
    </row>
    <row r="370" spans="1:25" ht="12" customHeight="1" x14ac:dyDescent="0.55000000000000004">
      <c r="A370" s="14">
        <f>A369</f>
        <v>586</v>
      </c>
      <c r="B370" s="15"/>
      <c r="C370" s="16" t="s">
        <v>4</v>
      </c>
      <c r="D370" s="50">
        <v>10893113.1</v>
      </c>
      <c r="E370" s="50"/>
      <c r="F370" s="50">
        <f>D370+E370</f>
        <v>10893113.1</v>
      </c>
      <c r="G370" s="17">
        <v>11171940</v>
      </c>
      <c r="H370" s="18"/>
      <c r="I370" s="18">
        <f>G370+H370</f>
        <v>11171940</v>
      </c>
      <c r="X370" s="3">
        <v>2</v>
      </c>
    </row>
    <row r="371" spans="1:25" ht="12" customHeight="1" x14ac:dyDescent="0.55000000000000004">
      <c r="A371" s="14">
        <f>A370</f>
        <v>586</v>
      </c>
      <c r="B371" s="15"/>
      <c r="C371" s="16" t="s">
        <v>5</v>
      </c>
      <c r="D371" s="50">
        <v>105688.9</v>
      </c>
      <c r="E371" s="50">
        <v>142547.60999999999</v>
      </c>
      <c r="F371" s="50">
        <f>D371+E371</f>
        <v>248236.50999999998</v>
      </c>
      <c r="G371" s="17">
        <v>94075.9</v>
      </c>
      <c r="H371" s="18">
        <v>102057.842</v>
      </c>
      <c r="I371" s="18">
        <f>G371+H371</f>
        <v>196133.742</v>
      </c>
      <c r="X371" s="3">
        <v>3</v>
      </c>
    </row>
    <row r="372" spans="1:25" ht="12" customHeight="1" x14ac:dyDescent="0.55000000000000004">
      <c r="A372" s="14">
        <f>A371</f>
        <v>586</v>
      </c>
      <c r="B372" s="15"/>
      <c r="C372" s="19" t="s">
        <v>6</v>
      </c>
      <c r="D372" s="51">
        <v>6468410.568</v>
      </c>
      <c r="E372" s="51"/>
      <c r="F372" s="51">
        <f>D372+E372</f>
        <v>6468410.568</v>
      </c>
      <c r="G372" s="20">
        <v>4581352</v>
      </c>
      <c r="H372" s="21"/>
      <c r="I372" s="21">
        <f>G372+H372</f>
        <v>4581352</v>
      </c>
      <c r="X372" s="3">
        <v>4</v>
      </c>
    </row>
    <row r="373" spans="1:25" ht="12" customHeight="1" x14ac:dyDescent="0.55000000000000004">
      <c r="A373" s="10">
        <v>593</v>
      </c>
      <c r="B373" s="10" t="s">
        <v>2</v>
      </c>
      <c r="C373" s="11" t="s">
        <v>109</v>
      </c>
      <c r="D373" s="52">
        <f t="shared" ref="D373:I373" si="95">SUM(D374:D376)</f>
        <v>6672091.3159999996</v>
      </c>
      <c r="E373" s="49">
        <f t="shared" si="95"/>
        <v>0</v>
      </c>
      <c r="F373" s="49">
        <f t="shared" si="95"/>
        <v>6672091.3159999996</v>
      </c>
      <c r="G373" s="12">
        <f t="shared" si="95"/>
        <v>6982506.7379999999</v>
      </c>
      <c r="H373" s="13">
        <f t="shared" si="95"/>
        <v>0</v>
      </c>
      <c r="I373" s="13">
        <f t="shared" si="95"/>
        <v>6982506.7379999999</v>
      </c>
      <c r="X373" s="3">
        <v>1</v>
      </c>
    </row>
    <row r="374" spans="1:25" ht="12" customHeight="1" x14ac:dyDescent="0.55000000000000004">
      <c r="A374" s="14">
        <f>A373</f>
        <v>593</v>
      </c>
      <c r="B374" s="15"/>
      <c r="C374" s="16" t="s">
        <v>4</v>
      </c>
      <c r="D374" s="53">
        <v>6672091.3159999996</v>
      </c>
      <c r="E374" s="50"/>
      <c r="F374" s="50">
        <f>D374+E374</f>
        <v>6672091.3159999996</v>
      </c>
      <c r="G374" s="17">
        <v>6982506.7379999999</v>
      </c>
      <c r="H374" s="18"/>
      <c r="I374" s="18">
        <f>G374+H374</f>
        <v>6982506.7379999999</v>
      </c>
      <c r="X374" s="3">
        <v>2</v>
      </c>
    </row>
    <row r="375" spans="1:25" ht="12" customHeight="1" x14ac:dyDescent="0.55000000000000004">
      <c r="A375" s="14">
        <f>A374</f>
        <v>593</v>
      </c>
      <c r="B375" s="15"/>
      <c r="C375" s="16" t="s">
        <v>5</v>
      </c>
      <c r="D375" s="53">
        <v>0</v>
      </c>
      <c r="E375" s="50"/>
      <c r="F375" s="50">
        <f>D375+E375</f>
        <v>0</v>
      </c>
      <c r="G375" s="17">
        <v>0</v>
      </c>
      <c r="H375" s="18"/>
      <c r="I375" s="18">
        <f>G375+H375</f>
        <v>0</v>
      </c>
      <c r="X375" s="3">
        <v>3</v>
      </c>
    </row>
    <row r="376" spans="1:25" ht="12" customHeight="1" x14ac:dyDescent="0.55000000000000004">
      <c r="A376" s="14">
        <f>A375</f>
        <v>593</v>
      </c>
      <c r="B376" s="15"/>
      <c r="C376" s="19" t="s">
        <v>6</v>
      </c>
      <c r="D376" s="54">
        <v>0</v>
      </c>
      <c r="E376" s="51"/>
      <c r="F376" s="51">
        <f>D376+E376</f>
        <v>0</v>
      </c>
      <c r="G376" s="20">
        <v>0</v>
      </c>
      <c r="H376" s="21"/>
      <c r="I376" s="21">
        <f>G376+H376</f>
        <v>0</v>
      </c>
      <c r="X376" s="3">
        <v>4</v>
      </c>
    </row>
    <row r="377" spans="1:25" ht="12" customHeight="1" x14ac:dyDescent="0.55000000000000004">
      <c r="A377" s="10"/>
      <c r="B377" s="10"/>
      <c r="C377" s="22" t="s">
        <v>15</v>
      </c>
      <c r="D377" s="55">
        <f>SUMIF($X$369:$X$376, $Y377,D$369:D$376)</f>
        <v>24139303.884</v>
      </c>
      <c r="E377" s="55">
        <f t="shared" ref="E377:F380" si="96">SUMIF($X$369:$X$376, $Y377,E$369:E$376)</f>
        <v>142547.60999999999</v>
      </c>
      <c r="F377" s="55">
        <f t="shared" si="96"/>
        <v>24281851.493999999</v>
      </c>
      <c r="G377" s="23">
        <f>SUMIF($X$369:$X$376, $Y377,G$369:G$376)</f>
        <v>22829874.638</v>
      </c>
      <c r="H377" s="23">
        <f t="shared" ref="H377:I380" si="97">SUMIF($X$369:$X$376, $Y377,H$369:H$376)</f>
        <v>102057.842</v>
      </c>
      <c r="I377" s="23">
        <f t="shared" si="97"/>
        <v>22931932.48</v>
      </c>
      <c r="Y377" s="3">
        <v>1</v>
      </c>
    </row>
    <row r="378" spans="1:25" ht="12" customHeight="1" x14ac:dyDescent="0.55000000000000004">
      <c r="A378" s="14"/>
      <c r="B378" s="15"/>
      <c r="C378" s="24" t="s">
        <v>4</v>
      </c>
      <c r="D378" s="55">
        <f>SUMIF($X$369:$X$376, $Y378,D$369:D$376)</f>
        <v>17565204.416000001</v>
      </c>
      <c r="E378" s="55">
        <f t="shared" si="96"/>
        <v>0</v>
      </c>
      <c r="F378" s="55">
        <f t="shared" si="96"/>
        <v>17565204.416000001</v>
      </c>
      <c r="G378" s="23">
        <f>SUMIF($X$369:$X$376, $Y378,G$369:G$376)</f>
        <v>18154446.737999998</v>
      </c>
      <c r="H378" s="23">
        <f t="shared" si="97"/>
        <v>0</v>
      </c>
      <c r="I378" s="23">
        <f t="shared" si="97"/>
        <v>18154446.737999998</v>
      </c>
      <c r="Y378" s="3">
        <v>2</v>
      </c>
    </row>
    <row r="379" spans="1:25" ht="12" customHeight="1" x14ac:dyDescent="0.55000000000000004">
      <c r="A379" s="14"/>
      <c r="B379" s="15"/>
      <c r="C379" s="24" t="s">
        <v>5</v>
      </c>
      <c r="D379" s="55">
        <f>SUMIF($X$369:$X$376, $Y379,D$369:D$376)</f>
        <v>105688.9</v>
      </c>
      <c r="E379" s="55">
        <f t="shared" si="96"/>
        <v>142547.60999999999</v>
      </c>
      <c r="F379" s="55">
        <f t="shared" si="96"/>
        <v>248236.50999999998</v>
      </c>
      <c r="G379" s="23">
        <f>SUMIF($X$369:$X$376, $Y379,G$369:G$376)</f>
        <v>94075.9</v>
      </c>
      <c r="H379" s="23">
        <f t="shared" si="97"/>
        <v>102057.842</v>
      </c>
      <c r="I379" s="23">
        <f t="shared" si="97"/>
        <v>196133.742</v>
      </c>
      <c r="Y379" s="3">
        <v>3</v>
      </c>
    </row>
    <row r="380" spans="1:25" ht="12" customHeight="1" x14ac:dyDescent="0.55000000000000004">
      <c r="A380" s="14"/>
      <c r="B380" s="15"/>
      <c r="C380" s="27" t="s">
        <v>6</v>
      </c>
      <c r="D380" s="57">
        <f>SUMIF($X$369:$X$376, $Y380,D$369:D$376)</f>
        <v>6468410.568</v>
      </c>
      <c r="E380" s="57">
        <f t="shared" si="96"/>
        <v>0</v>
      </c>
      <c r="F380" s="57">
        <f t="shared" si="96"/>
        <v>6468410.568</v>
      </c>
      <c r="G380" s="28">
        <f>SUMIF($X$369:$X$376, $Y380,G$369:G$376)</f>
        <v>4581352</v>
      </c>
      <c r="H380" s="28">
        <f t="shared" si="97"/>
        <v>0</v>
      </c>
      <c r="I380" s="28">
        <f t="shared" si="97"/>
        <v>4581352</v>
      </c>
      <c r="Y380" s="3">
        <v>4</v>
      </c>
    </row>
    <row r="381" spans="1:25" ht="12" customHeight="1" x14ac:dyDescent="0.55000000000000004">
      <c r="A381" s="25"/>
      <c r="B381" s="25"/>
      <c r="C381" s="25" t="s">
        <v>16</v>
      </c>
      <c r="D381" s="56"/>
      <c r="E381" s="56"/>
      <c r="F381" s="56"/>
      <c r="G381" s="26"/>
      <c r="H381" s="26"/>
      <c r="I381" s="26"/>
    </row>
    <row r="382" spans="1:25" ht="12" customHeight="1" x14ac:dyDescent="0.55000000000000004">
      <c r="A382" s="10">
        <v>601</v>
      </c>
      <c r="B382" s="10" t="s">
        <v>2</v>
      </c>
      <c r="C382" s="11" t="s">
        <v>110</v>
      </c>
      <c r="D382" s="49">
        <f t="shared" ref="D382:I382" si="98">SUM(D383:D385)</f>
        <v>91964.649000000005</v>
      </c>
      <c r="E382" s="49">
        <f t="shared" si="98"/>
        <v>3935</v>
      </c>
      <c r="F382" s="49">
        <f t="shared" si="98"/>
        <v>95899.649000000005</v>
      </c>
      <c r="G382" s="12">
        <f t="shared" si="98"/>
        <v>60043.911</v>
      </c>
      <c r="H382" s="13">
        <f t="shared" si="98"/>
        <v>0</v>
      </c>
      <c r="I382" s="13">
        <f t="shared" si="98"/>
        <v>60043.911</v>
      </c>
      <c r="X382" s="3">
        <v>1</v>
      </c>
    </row>
    <row r="383" spans="1:25" ht="12" customHeight="1" x14ac:dyDescent="0.55000000000000004">
      <c r="A383" s="14">
        <f>A382</f>
        <v>601</v>
      </c>
      <c r="B383" s="15"/>
      <c r="C383" s="16" t="s">
        <v>4</v>
      </c>
      <c r="D383" s="50">
        <v>44641.8</v>
      </c>
      <c r="E383" s="50"/>
      <c r="F383" s="50">
        <f>D383+E383</f>
        <v>44641.8</v>
      </c>
      <c r="G383" s="17">
        <v>37791.800000000003</v>
      </c>
      <c r="H383" s="18"/>
      <c r="I383" s="18">
        <f>G383+H383</f>
        <v>37791.800000000003</v>
      </c>
      <c r="X383" s="3">
        <v>2</v>
      </c>
    </row>
    <row r="384" spans="1:25" ht="12" customHeight="1" x14ac:dyDescent="0.55000000000000004">
      <c r="A384" s="14">
        <f>A383</f>
        <v>601</v>
      </c>
      <c r="B384" s="15"/>
      <c r="C384" s="16" t="s">
        <v>5</v>
      </c>
      <c r="D384" s="50">
        <v>16630</v>
      </c>
      <c r="E384" s="50">
        <v>3935</v>
      </c>
      <c r="F384" s="50">
        <f>D384+E384</f>
        <v>20565</v>
      </c>
      <c r="G384" s="17">
        <v>16630</v>
      </c>
      <c r="H384" s="18"/>
      <c r="I384" s="18">
        <f>G384+H384</f>
        <v>16630</v>
      </c>
      <c r="X384" s="3">
        <v>3</v>
      </c>
    </row>
    <row r="385" spans="1:24" ht="12" customHeight="1" x14ac:dyDescent="0.55000000000000004">
      <c r="A385" s="14">
        <f>A384</f>
        <v>601</v>
      </c>
      <c r="B385" s="15"/>
      <c r="C385" s="19" t="s">
        <v>6</v>
      </c>
      <c r="D385" s="51">
        <v>30692.848999999998</v>
      </c>
      <c r="E385" s="51"/>
      <c r="F385" s="51">
        <f>D385+E385</f>
        <v>30692.848999999998</v>
      </c>
      <c r="G385" s="20">
        <v>5622.1109999999999</v>
      </c>
      <c r="H385" s="21"/>
      <c r="I385" s="21">
        <f>G385+H385</f>
        <v>5622.1109999999999</v>
      </c>
      <c r="X385" s="3">
        <v>4</v>
      </c>
    </row>
    <row r="386" spans="1:24" ht="12" customHeight="1" x14ac:dyDescent="0.55000000000000004">
      <c r="A386" s="10">
        <v>608</v>
      </c>
      <c r="B386" s="10" t="s">
        <v>2</v>
      </c>
      <c r="C386" s="11" t="s">
        <v>111</v>
      </c>
      <c r="D386" s="49">
        <f t="shared" ref="D386:I386" si="99">SUM(D387:D389)</f>
        <v>43437.7</v>
      </c>
      <c r="E386" s="49">
        <f t="shared" si="99"/>
        <v>0</v>
      </c>
      <c r="F386" s="49">
        <f t="shared" si="99"/>
        <v>43437.7</v>
      </c>
      <c r="G386" s="12">
        <f t="shared" si="99"/>
        <v>44641.599999999999</v>
      </c>
      <c r="H386" s="13">
        <f t="shared" si="99"/>
        <v>0</v>
      </c>
      <c r="I386" s="13">
        <f t="shared" si="99"/>
        <v>44641.599999999999</v>
      </c>
      <c r="X386" s="3">
        <v>1</v>
      </c>
    </row>
    <row r="387" spans="1:24" ht="12" customHeight="1" x14ac:dyDescent="0.55000000000000004">
      <c r="A387" s="14">
        <f>A386</f>
        <v>608</v>
      </c>
      <c r="B387" s="15"/>
      <c r="C387" s="16" t="s">
        <v>4</v>
      </c>
      <c r="D387" s="50">
        <v>40130.699999999997</v>
      </c>
      <c r="E387" s="50"/>
      <c r="F387" s="50">
        <f>D387+E387</f>
        <v>40130.699999999997</v>
      </c>
      <c r="G387" s="17">
        <v>41334.6</v>
      </c>
      <c r="H387" s="18"/>
      <c r="I387" s="18">
        <f>G387+H387</f>
        <v>41334.6</v>
      </c>
      <c r="X387" s="3">
        <v>2</v>
      </c>
    </row>
    <row r="388" spans="1:24" ht="12" customHeight="1" x14ac:dyDescent="0.55000000000000004">
      <c r="A388" s="14">
        <f>A387</f>
        <v>608</v>
      </c>
      <c r="B388" s="15"/>
      <c r="C388" s="16" t="s">
        <v>5</v>
      </c>
      <c r="D388" s="50">
        <v>3307</v>
      </c>
      <c r="E388" s="50"/>
      <c r="F388" s="50">
        <f>D388+E388</f>
        <v>3307</v>
      </c>
      <c r="G388" s="17">
        <v>3307</v>
      </c>
      <c r="H388" s="18"/>
      <c r="I388" s="18">
        <f>G388+H388</f>
        <v>3307</v>
      </c>
      <c r="X388" s="3">
        <v>3</v>
      </c>
    </row>
    <row r="389" spans="1:24" ht="12" customHeight="1" x14ac:dyDescent="0.55000000000000004">
      <c r="A389" s="14">
        <f>A388</f>
        <v>608</v>
      </c>
      <c r="B389" s="15"/>
      <c r="C389" s="19" t="s">
        <v>6</v>
      </c>
      <c r="D389" s="51">
        <v>0</v>
      </c>
      <c r="E389" s="51"/>
      <c r="F389" s="51">
        <f>D389+E389</f>
        <v>0</v>
      </c>
      <c r="G389" s="20">
        <v>0</v>
      </c>
      <c r="H389" s="21"/>
      <c r="I389" s="21">
        <f>G389+H389</f>
        <v>0</v>
      </c>
      <c r="X389" s="3">
        <v>4</v>
      </c>
    </row>
    <row r="390" spans="1:24" ht="12" customHeight="1" x14ac:dyDescent="0.55000000000000004">
      <c r="A390" s="10">
        <v>612</v>
      </c>
      <c r="B390" s="10" t="s">
        <v>2</v>
      </c>
      <c r="C390" s="11" t="s">
        <v>112</v>
      </c>
      <c r="D390" s="49">
        <f t="shared" ref="D390:I390" si="100">SUM(D391:D393)</f>
        <v>47978.1</v>
      </c>
      <c r="E390" s="49">
        <f t="shared" si="100"/>
        <v>0</v>
      </c>
      <c r="F390" s="49">
        <f t="shared" si="100"/>
        <v>47978.1</v>
      </c>
      <c r="G390" s="12">
        <f t="shared" si="100"/>
        <v>49402.2</v>
      </c>
      <c r="H390" s="13">
        <f t="shared" si="100"/>
        <v>0</v>
      </c>
      <c r="I390" s="13">
        <f t="shared" si="100"/>
        <v>49402.2</v>
      </c>
      <c r="X390" s="3">
        <v>1</v>
      </c>
    </row>
    <row r="391" spans="1:24" ht="12" customHeight="1" x14ac:dyDescent="0.55000000000000004">
      <c r="A391" s="14">
        <f>A390</f>
        <v>612</v>
      </c>
      <c r="B391" s="15"/>
      <c r="C391" s="16" t="s">
        <v>4</v>
      </c>
      <c r="D391" s="50">
        <v>47971.1</v>
      </c>
      <c r="E391" s="50"/>
      <c r="F391" s="50">
        <f>D391+E391</f>
        <v>47971.1</v>
      </c>
      <c r="G391" s="17">
        <v>49395.199999999997</v>
      </c>
      <c r="H391" s="18"/>
      <c r="I391" s="18">
        <f>G391+H391</f>
        <v>49395.199999999997</v>
      </c>
      <c r="X391" s="3">
        <v>2</v>
      </c>
    </row>
    <row r="392" spans="1:24" ht="12" customHeight="1" x14ac:dyDescent="0.55000000000000004">
      <c r="A392" s="14">
        <f>A391</f>
        <v>612</v>
      </c>
      <c r="B392" s="15"/>
      <c r="C392" s="16" t="s">
        <v>5</v>
      </c>
      <c r="D392" s="50">
        <v>7</v>
      </c>
      <c r="E392" s="50"/>
      <c r="F392" s="50">
        <f>D392+E392</f>
        <v>7</v>
      </c>
      <c r="G392" s="17">
        <v>7</v>
      </c>
      <c r="H392" s="18"/>
      <c r="I392" s="18">
        <f>G392+H392</f>
        <v>7</v>
      </c>
      <c r="X392" s="3">
        <v>3</v>
      </c>
    </row>
    <row r="393" spans="1:24" ht="12" customHeight="1" x14ac:dyDescent="0.55000000000000004">
      <c r="A393" s="14">
        <f>A392</f>
        <v>612</v>
      </c>
      <c r="B393" s="15"/>
      <c r="C393" s="19" t="s">
        <v>6</v>
      </c>
      <c r="D393" s="51">
        <v>0</v>
      </c>
      <c r="E393" s="51"/>
      <c r="F393" s="51">
        <f>D393+E393</f>
        <v>0</v>
      </c>
      <c r="G393" s="20">
        <v>0</v>
      </c>
      <c r="H393" s="21"/>
      <c r="I393" s="21">
        <f>G393+H393</f>
        <v>0</v>
      </c>
      <c r="X393" s="3">
        <v>4</v>
      </c>
    </row>
    <row r="394" spans="1:24" ht="12" customHeight="1" x14ac:dyDescent="0.55000000000000004">
      <c r="A394" s="10">
        <v>616</v>
      </c>
      <c r="B394" s="10" t="s">
        <v>2</v>
      </c>
      <c r="C394" s="11" t="s">
        <v>113</v>
      </c>
      <c r="D394" s="49">
        <f t="shared" ref="D394:I394" si="101">SUM(D395:D397)</f>
        <v>26579.3</v>
      </c>
      <c r="E394" s="49">
        <f t="shared" si="101"/>
        <v>0</v>
      </c>
      <c r="F394" s="49">
        <f t="shared" si="101"/>
        <v>26579.3</v>
      </c>
      <c r="G394" s="12">
        <f t="shared" si="101"/>
        <v>27376.7</v>
      </c>
      <c r="H394" s="13">
        <f t="shared" si="101"/>
        <v>0</v>
      </c>
      <c r="I394" s="13">
        <f t="shared" si="101"/>
        <v>27376.7</v>
      </c>
      <c r="X394" s="3">
        <v>1</v>
      </c>
    </row>
    <row r="395" spans="1:24" ht="12" customHeight="1" x14ac:dyDescent="0.55000000000000004">
      <c r="A395" s="14">
        <f>A394</f>
        <v>616</v>
      </c>
      <c r="B395" s="15"/>
      <c r="C395" s="16" t="s">
        <v>4</v>
      </c>
      <c r="D395" s="50">
        <v>26579.3</v>
      </c>
      <c r="E395" s="50"/>
      <c r="F395" s="50">
        <f>D395+E395</f>
        <v>26579.3</v>
      </c>
      <c r="G395" s="17">
        <v>27376.7</v>
      </c>
      <c r="H395" s="18"/>
      <c r="I395" s="18">
        <f>G395+H395</f>
        <v>27376.7</v>
      </c>
      <c r="X395" s="3">
        <v>2</v>
      </c>
    </row>
    <row r="396" spans="1:24" ht="12" customHeight="1" x14ac:dyDescent="0.55000000000000004">
      <c r="A396" s="14">
        <f>A395</f>
        <v>616</v>
      </c>
      <c r="B396" s="15"/>
      <c r="C396" s="16" t="s">
        <v>5</v>
      </c>
      <c r="D396" s="50">
        <v>0</v>
      </c>
      <c r="E396" s="50"/>
      <c r="F396" s="50">
        <f>D396+E396</f>
        <v>0</v>
      </c>
      <c r="G396" s="17">
        <v>0</v>
      </c>
      <c r="H396" s="18"/>
      <c r="I396" s="18">
        <f>G396+H396</f>
        <v>0</v>
      </c>
      <c r="X396" s="3">
        <v>3</v>
      </c>
    </row>
    <row r="397" spans="1:24" ht="12" customHeight="1" x14ac:dyDescent="0.55000000000000004">
      <c r="A397" s="14">
        <f>A396</f>
        <v>616</v>
      </c>
      <c r="B397" s="15"/>
      <c r="C397" s="19" t="s">
        <v>6</v>
      </c>
      <c r="D397" s="51">
        <v>0</v>
      </c>
      <c r="E397" s="51"/>
      <c r="F397" s="51">
        <f>D397+E397</f>
        <v>0</v>
      </c>
      <c r="G397" s="20">
        <v>0</v>
      </c>
      <c r="H397" s="21"/>
      <c r="I397" s="21">
        <f>G397+H397</f>
        <v>0</v>
      </c>
      <c r="X397" s="3">
        <v>4</v>
      </c>
    </row>
    <row r="398" spans="1:24" ht="12" customHeight="1" x14ac:dyDescent="0.55000000000000004">
      <c r="A398" s="10">
        <v>620</v>
      </c>
      <c r="B398" s="10" t="s">
        <v>2</v>
      </c>
      <c r="C398" s="11" t="s">
        <v>114</v>
      </c>
      <c r="D398" s="49">
        <f t="shared" ref="D398:I398" si="102">SUM(D399:D401)</f>
        <v>41258.699999999997</v>
      </c>
      <c r="E398" s="49">
        <f t="shared" si="102"/>
        <v>0</v>
      </c>
      <c r="F398" s="49">
        <f t="shared" si="102"/>
        <v>41258.699999999997</v>
      </c>
      <c r="G398" s="12">
        <f t="shared" si="102"/>
        <v>41981.5</v>
      </c>
      <c r="H398" s="13">
        <f t="shared" si="102"/>
        <v>0</v>
      </c>
      <c r="I398" s="13">
        <f t="shared" si="102"/>
        <v>41981.5</v>
      </c>
      <c r="X398" s="3">
        <v>1</v>
      </c>
    </row>
    <row r="399" spans="1:24" ht="12" customHeight="1" x14ac:dyDescent="0.55000000000000004">
      <c r="A399" s="14">
        <f>A398</f>
        <v>620</v>
      </c>
      <c r="B399" s="15"/>
      <c r="C399" s="16" t="s">
        <v>4</v>
      </c>
      <c r="D399" s="50">
        <v>41258.699999999997</v>
      </c>
      <c r="E399" s="50"/>
      <c r="F399" s="50">
        <f>D399+E399</f>
        <v>41258.699999999997</v>
      </c>
      <c r="G399" s="17">
        <v>41981.5</v>
      </c>
      <c r="H399" s="18"/>
      <c r="I399" s="18">
        <f>G399+H399</f>
        <v>41981.5</v>
      </c>
      <c r="X399" s="3">
        <v>2</v>
      </c>
    </row>
    <row r="400" spans="1:24" ht="12" customHeight="1" x14ac:dyDescent="0.55000000000000004">
      <c r="A400" s="14">
        <f>A399</f>
        <v>620</v>
      </c>
      <c r="B400" s="15"/>
      <c r="C400" s="16" t="s">
        <v>5</v>
      </c>
      <c r="D400" s="50">
        <v>0</v>
      </c>
      <c r="E400" s="50"/>
      <c r="F400" s="50">
        <f>D400+E400</f>
        <v>0</v>
      </c>
      <c r="G400" s="17">
        <v>0</v>
      </c>
      <c r="H400" s="18"/>
      <c r="I400" s="18">
        <f>G400+H400</f>
        <v>0</v>
      </c>
      <c r="X400" s="3">
        <v>3</v>
      </c>
    </row>
    <row r="401" spans="1:24" ht="12" customHeight="1" x14ac:dyDescent="0.55000000000000004">
      <c r="A401" s="14">
        <f>A400</f>
        <v>620</v>
      </c>
      <c r="B401" s="15"/>
      <c r="C401" s="19" t="s">
        <v>6</v>
      </c>
      <c r="D401" s="51">
        <v>0</v>
      </c>
      <c r="E401" s="51"/>
      <c r="F401" s="51">
        <f>D401+E401</f>
        <v>0</v>
      </c>
      <c r="G401" s="20">
        <v>0</v>
      </c>
      <c r="H401" s="21"/>
      <c r="I401" s="21">
        <f>G401+H401</f>
        <v>0</v>
      </c>
      <c r="X401" s="3">
        <v>4</v>
      </c>
    </row>
    <row r="402" spans="1:24" ht="12" customHeight="1" x14ac:dyDescent="0.55000000000000004">
      <c r="A402" s="10">
        <v>628</v>
      </c>
      <c r="B402" s="10" t="s">
        <v>2</v>
      </c>
      <c r="C402" s="11" t="s">
        <v>115</v>
      </c>
      <c r="D402" s="49">
        <f t="shared" ref="D402:I402" si="103">SUM(D403:D405)</f>
        <v>56836.5</v>
      </c>
      <c r="E402" s="49">
        <f t="shared" si="103"/>
        <v>0</v>
      </c>
      <c r="F402" s="49">
        <f t="shared" si="103"/>
        <v>56836.5</v>
      </c>
      <c r="G402" s="12">
        <f t="shared" si="103"/>
        <v>58541.3</v>
      </c>
      <c r="H402" s="13">
        <f t="shared" si="103"/>
        <v>0</v>
      </c>
      <c r="I402" s="13">
        <f t="shared" si="103"/>
        <v>58541.3</v>
      </c>
      <c r="X402" s="3">
        <v>1</v>
      </c>
    </row>
    <row r="403" spans="1:24" ht="12" customHeight="1" x14ac:dyDescent="0.55000000000000004">
      <c r="A403" s="14">
        <f>A402</f>
        <v>628</v>
      </c>
      <c r="B403" s="15"/>
      <c r="C403" s="16" t="s">
        <v>4</v>
      </c>
      <c r="D403" s="50">
        <v>56826.5</v>
      </c>
      <c r="E403" s="50"/>
      <c r="F403" s="50">
        <f>D403+E403</f>
        <v>56826.5</v>
      </c>
      <c r="G403" s="17">
        <v>58531.3</v>
      </c>
      <c r="H403" s="18"/>
      <c r="I403" s="18">
        <f>G403+H403</f>
        <v>58531.3</v>
      </c>
      <c r="X403" s="3">
        <v>2</v>
      </c>
    </row>
    <row r="404" spans="1:24" ht="12" customHeight="1" x14ac:dyDescent="0.55000000000000004">
      <c r="A404" s="14">
        <f>A403</f>
        <v>628</v>
      </c>
      <c r="B404" s="15"/>
      <c r="C404" s="16" t="s">
        <v>5</v>
      </c>
      <c r="D404" s="50">
        <v>10</v>
      </c>
      <c r="E404" s="50"/>
      <c r="F404" s="50">
        <f>D404+E404</f>
        <v>10</v>
      </c>
      <c r="G404" s="17">
        <v>10</v>
      </c>
      <c r="H404" s="18"/>
      <c r="I404" s="18">
        <f>G404+H404</f>
        <v>10</v>
      </c>
      <c r="X404" s="3">
        <v>3</v>
      </c>
    </row>
    <row r="405" spans="1:24" ht="12" customHeight="1" x14ac:dyDescent="0.55000000000000004">
      <c r="A405" s="14">
        <f>A404</f>
        <v>628</v>
      </c>
      <c r="B405" s="15"/>
      <c r="C405" s="19" t="s">
        <v>6</v>
      </c>
      <c r="D405" s="51">
        <v>0</v>
      </c>
      <c r="E405" s="51"/>
      <c r="F405" s="51">
        <f>D405+E405</f>
        <v>0</v>
      </c>
      <c r="G405" s="20">
        <v>0</v>
      </c>
      <c r="H405" s="21"/>
      <c r="I405" s="21">
        <f>G405+H405</f>
        <v>0</v>
      </c>
      <c r="X405" s="3">
        <v>4</v>
      </c>
    </row>
    <row r="406" spans="1:24" ht="12" customHeight="1" x14ac:dyDescent="0.55000000000000004">
      <c r="A406" s="10">
        <v>636</v>
      </c>
      <c r="B406" s="10" t="s">
        <v>2</v>
      </c>
      <c r="C406" s="11" t="s">
        <v>116</v>
      </c>
      <c r="D406" s="49">
        <f t="shared" ref="D406:I406" si="104">SUM(D407:D409)</f>
        <v>79806.8</v>
      </c>
      <c r="E406" s="49">
        <f t="shared" si="104"/>
        <v>0</v>
      </c>
      <c r="F406" s="49">
        <f t="shared" si="104"/>
        <v>79806.8</v>
      </c>
      <c r="G406" s="12">
        <f t="shared" si="104"/>
        <v>82205.3</v>
      </c>
      <c r="H406" s="13">
        <f t="shared" si="104"/>
        <v>0</v>
      </c>
      <c r="I406" s="13">
        <f t="shared" si="104"/>
        <v>82205.3</v>
      </c>
      <c r="X406" s="3">
        <v>1</v>
      </c>
    </row>
    <row r="407" spans="1:24" ht="12" customHeight="1" x14ac:dyDescent="0.55000000000000004">
      <c r="A407" s="14">
        <f>A406</f>
        <v>636</v>
      </c>
      <c r="B407" s="15"/>
      <c r="C407" s="16" t="s">
        <v>4</v>
      </c>
      <c r="D407" s="50">
        <v>79781.8</v>
      </c>
      <c r="E407" s="50"/>
      <c r="F407" s="50">
        <f>D407+E407</f>
        <v>79781.8</v>
      </c>
      <c r="G407" s="17">
        <v>82175.3</v>
      </c>
      <c r="H407" s="18"/>
      <c r="I407" s="18">
        <f>G407+H407</f>
        <v>82175.3</v>
      </c>
      <c r="X407" s="3">
        <v>2</v>
      </c>
    </row>
    <row r="408" spans="1:24" ht="12" customHeight="1" x14ac:dyDescent="0.55000000000000004">
      <c r="A408" s="14">
        <f>A407</f>
        <v>636</v>
      </c>
      <c r="B408" s="15"/>
      <c r="C408" s="16" t="s">
        <v>5</v>
      </c>
      <c r="D408" s="50">
        <v>25</v>
      </c>
      <c r="E408" s="50"/>
      <c r="F408" s="50">
        <f>D408+E408</f>
        <v>25</v>
      </c>
      <c r="G408" s="17">
        <v>30</v>
      </c>
      <c r="H408" s="18"/>
      <c r="I408" s="18">
        <f>G408+H408</f>
        <v>30</v>
      </c>
      <c r="X408" s="3">
        <v>3</v>
      </c>
    </row>
    <row r="409" spans="1:24" ht="12" customHeight="1" x14ac:dyDescent="0.55000000000000004">
      <c r="A409" s="14">
        <f>A408</f>
        <v>636</v>
      </c>
      <c r="B409" s="15"/>
      <c r="C409" s="19" t="s">
        <v>6</v>
      </c>
      <c r="D409" s="51">
        <v>0</v>
      </c>
      <c r="E409" s="51"/>
      <c r="F409" s="51">
        <f>D409+E409</f>
        <v>0</v>
      </c>
      <c r="G409" s="20">
        <v>0</v>
      </c>
      <c r="H409" s="21"/>
      <c r="I409" s="21">
        <f>G409+H409</f>
        <v>0</v>
      </c>
      <c r="X409" s="3">
        <v>4</v>
      </c>
    </row>
    <row r="410" spans="1:24" ht="12" customHeight="1" x14ac:dyDescent="0.55000000000000004">
      <c r="A410" s="10">
        <v>644</v>
      </c>
      <c r="B410" s="10" t="s">
        <v>2</v>
      </c>
      <c r="C410" s="11" t="s">
        <v>117</v>
      </c>
      <c r="D410" s="49">
        <f t="shared" ref="D410:I410" si="105">SUM(D411:D413)</f>
        <v>100643.3</v>
      </c>
      <c r="E410" s="49">
        <f t="shared" si="105"/>
        <v>0</v>
      </c>
      <c r="F410" s="49">
        <f t="shared" si="105"/>
        <v>100643.3</v>
      </c>
      <c r="G410" s="12">
        <f t="shared" si="105"/>
        <v>103661.9</v>
      </c>
      <c r="H410" s="13">
        <f t="shared" si="105"/>
        <v>0</v>
      </c>
      <c r="I410" s="13">
        <f t="shared" si="105"/>
        <v>103661.9</v>
      </c>
      <c r="X410" s="3">
        <v>1</v>
      </c>
    </row>
    <row r="411" spans="1:24" ht="12" customHeight="1" x14ac:dyDescent="0.55000000000000004">
      <c r="A411" s="14">
        <f>A410</f>
        <v>644</v>
      </c>
      <c r="B411" s="15"/>
      <c r="C411" s="16" t="s">
        <v>4</v>
      </c>
      <c r="D411" s="50">
        <v>100621.3</v>
      </c>
      <c r="E411" s="50"/>
      <c r="F411" s="50">
        <f>D411+E411</f>
        <v>100621.3</v>
      </c>
      <c r="G411" s="17">
        <v>103639.9</v>
      </c>
      <c r="H411" s="18"/>
      <c r="I411" s="18">
        <f>G411+H411</f>
        <v>103639.9</v>
      </c>
      <c r="X411" s="3">
        <v>2</v>
      </c>
    </row>
    <row r="412" spans="1:24" ht="12" customHeight="1" x14ac:dyDescent="0.55000000000000004">
      <c r="A412" s="14">
        <f>A411</f>
        <v>644</v>
      </c>
      <c r="B412" s="15"/>
      <c r="C412" s="16" t="s">
        <v>5</v>
      </c>
      <c r="D412" s="50">
        <v>22</v>
      </c>
      <c r="E412" s="50"/>
      <c r="F412" s="50">
        <f>D412+E412</f>
        <v>22</v>
      </c>
      <c r="G412" s="17">
        <v>22</v>
      </c>
      <c r="H412" s="18"/>
      <c r="I412" s="18">
        <f>G412+H412</f>
        <v>22</v>
      </c>
      <c r="X412" s="3">
        <v>3</v>
      </c>
    </row>
    <row r="413" spans="1:24" ht="12" customHeight="1" x14ac:dyDescent="0.55000000000000004">
      <c r="A413" s="14">
        <f>A412</f>
        <v>644</v>
      </c>
      <c r="B413" s="15"/>
      <c r="C413" s="19" t="s">
        <v>6</v>
      </c>
      <c r="D413" s="51">
        <v>0</v>
      </c>
      <c r="E413" s="51"/>
      <c r="F413" s="51">
        <f>D413+E413</f>
        <v>0</v>
      </c>
      <c r="G413" s="20">
        <v>0</v>
      </c>
      <c r="H413" s="21"/>
      <c r="I413" s="21">
        <f>G413+H413</f>
        <v>0</v>
      </c>
      <c r="X413" s="3">
        <v>4</v>
      </c>
    </row>
    <row r="414" spans="1:24" ht="12" customHeight="1" x14ac:dyDescent="0.55000000000000004">
      <c r="A414" s="10">
        <v>664</v>
      </c>
      <c r="B414" s="10" t="s">
        <v>2</v>
      </c>
      <c r="C414" s="11" t="s">
        <v>118</v>
      </c>
      <c r="D414" s="49">
        <f t="shared" ref="D414:I414" si="106">SUM(D415:D417)</f>
        <v>226970.1</v>
      </c>
      <c r="E414" s="49">
        <f t="shared" si="106"/>
        <v>0</v>
      </c>
      <c r="F414" s="49">
        <f t="shared" si="106"/>
        <v>226970.1</v>
      </c>
      <c r="G414" s="12">
        <f t="shared" si="106"/>
        <v>233252.4</v>
      </c>
      <c r="H414" s="13">
        <f t="shared" si="106"/>
        <v>0</v>
      </c>
      <c r="I414" s="13">
        <f t="shared" si="106"/>
        <v>233252.4</v>
      </c>
      <c r="X414" s="3">
        <v>1</v>
      </c>
    </row>
    <row r="415" spans="1:24" ht="12" customHeight="1" x14ac:dyDescent="0.55000000000000004">
      <c r="A415" s="14">
        <f>A414</f>
        <v>664</v>
      </c>
      <c r="B415" s="15"/>
      <c r="C415" s="16" t="s">
        <v>4</v>
      </c>
      <c r="D415" s="50">
        <v>225703.1</v>
      </c>
      <c r="E415" s="50"/>
      <c r="F415" s="50">
        <f>D415+E415</f>
        <v>225703.1</v>
      </c>
      <c r="G415" s="17">
        <v>231986.4</v>
      </c>
      <c r="H415" s="18"/>
      <c r="I415" s="18">
        <f>G415+H415</f>
        <v>231986.4</v>
      </c>
      <c r="X415" s="3">
        <v>2</v>
      </c>
    </row>
    <row r="416" spans="1:24" ht="12" customHeight="1" x14ac:dyDescent="0.55000000000000004">
      <c r="A416" s="14">
        <f>A415</f>
        <v>664</v>
      </c>
      <c r="B416" s="15"/>
      <c r="C416" s="16" t="s">
        <v>5</v>
      </c>
      <c r="D416" s="50">
        <v>1267</v>
      </c>
      <c r="E416" s="50"/>
      <c r="F416" s="50">
        <f>D416+E416</f>
        <v>1267</v>
      </c>
      <c r="G416" s="17">
        <v>1266</v>
      </c>
      <c r="H416" s="18"/>
      <c r="I416" s="18">
        <f>G416+H416</f>
        <v>1266</v>
      </c>
      <c r="X416" s="3">
        <v>3</v>
      </c>
    </row>
    <row r="417" spans="1:24" ht="12" customHeight="1" x14ac:dyDescent="0.55000000000000004">
      <c r="A417" s="14">
        <f>A416</f>
        <v>664</v>
      </c>
      <c r="B417" s="15"/>
      <c r="C417" s="19" t="s">
        <v>6</v>
      </c>
      <c r="D417" s="51">
        <v>0</v>
      </c>
      <c r="E417" s="51"/>
      <c r="F417" s="51">
        <f>D417+E417</f>
        <v>0</v>
      </c>
      <c r="G417" s="20">
        <v>0</v>
      </c>
      <c r="H417" s="21"/>
      <c r="I417" s="21">
        <f>G417+H417</f>
        <v>0</v>
      </c>
      <c r="X417" s="3">
        <v>4</v>
      </c>
    </row>
    <row r="418" spans="1:24" ht="12" customHeight="1" x14ac:dyDescent="0.55000000000000004">
      <c r="A418" s="10">
        <v>676</v>
      </c>
      <c r="B418" s="10" t="s">
        <v>2</v>
      </c>
      <c r="C418" s="11" t="s">
        <v>119</v>
      </c>
      <c r="D418" s="49">
        <f t="shared" ref="D418:I418" si="107">SUM(D419:D421)</f>
        <v>721376.70000000007</v>
      </c>
      <c r="E418" s="49">
        <f t="shared" si="107"/>
        <v>0</v>
      </c>
      <c r="F418" s="49">
        <f t="shared" si="107"/>
        <v>721376.70000000007</v>
      </c>
      <c r="G418" s="12">
        <f t="shared" si="107"/>
        <v>739833.29999999993</v>
      </c>
      <c r="H418" s="13">
        <f t="shared" si="107"/>
        <v>0</v>
      </c>
      <c r="I418" s="13">
        <f t="shared" si="107"/>
        <v>739833.29999999993</v>
      </c>
      <c r="X418" s="3">
        <v>1</v>
      </c>
    </row>
    <row r="419" spans="1:24" ht="12" customHeight="1" x14ac:dyDescent="0.55000000000000004">
      <c r="A419" s="14">
        <f>A418</f>
        <v>676</v>
      </c>
      <c r="B419" s="15"/>
      <c r="C419" s="16" t="s">
        <v>4</v>
      </c>
      <c r="D419" s="50">
        <v>710613.3</v>
      </c>
      <c r="E419" s="50"/>
      <c r="F419" s="50">
        <f>D419+E419</f>
        <v>710613.3</v>
      </c>
      <c r="G419" s="17">
        <v>729944.6</v>
      </c>
      <c r="H419" s="18"/>
      <c r="I419" s="18">
        <f>G419+H419</f>
        <v>729944.6</v>
      </c>
      <c r="X419" s="3">
        <v>2</v>
      </c>
    </row>
    <row r="420" spans="1:24" ht="12" customHeight="1" x14ac:dyDescent="0.55000000000000004">
      <c r="A420" s="14">
        <f>A419</f>
        <v>676</v>
      </c>
      <c r="B420" s="15"/>
      <c r="C420" s="16" t="s">
        <v>5</v>
      </c>
      <c r="D420" s="50">
        <v>10606.8</v>
      </c>
      <c r="E420" s="50"/>
      <c r="F420" s="50">
        <f>D420+E420</f>
        <v>10606.8</v>
      </c>
      <c r="G420" s="17">
        <v>9888.7000000000007</v>
      </c>
      <c r="H420" s="18"/>
      <c r="I420" s="18">
        <f>G420+H420</f>
        <v>9888.7000000000007</v>
      </c>
      <c r="X420" s="3">
        <v>3</v>
      </c>
    </row>
    <row r="421" spans="1:24" ht="12" customHeight="1" x14ac:dyDescent="0.55000000000000004">
      <c r="A421" s="14">
        <f>A420</f>
        <v>676</v>
      </c>
      <c r="B421" s="15"/>
      <c r="C421" s="19" t="s">
        <v>6</v>
      </c>
      <c r="D421" s="51">
        <v>156.6</v>
      </c>
      <c r="E421" s="51"/>
      <c r="F421" s="51">
        <f>D421+E421</f>
        <v>156.6</v>
      </c>
      <c r="G421" s="20">
        <v>0</v>
      </c>
      <c r="H421" s="21"/>
      <c r="I421" s="21">
        <f>G421+H421</f>
        <v>0</v>
      </c>
      <c r="X421" s="3">
        <v>4</v>
      </c>
    </row>
    <row r="422" spans="1:24" ht="12" customHeight="1" x14ac:dyDescent="0.55000000000000004">
      <c r="A422" s="10">
        <v>684</v>
      </c>
      <c r="B422" s="10" t="s">
        <v>2</v>
      </c>
      <c r="C422" s="11" t="s">
        <v>120</v>
      </c>
      <c r="D422" s="49">
        <f t="shared" ref="D422:I422" si="108">SUM(D423:D425)</f>
        <v>548284</v>
      </c>
      <c r="E422" s="49">
        <f t="shared" si="108"/>
        <v>0</v>
      </c>
      <c r="F422" s="49">
        <f t="shared" si="108"/>
        <v>548284</v>
      </c>
      <c r="G422" s="12">
        <f t="shared" si="108"/>
        <v>532779.4</v>
      </c>
      <c r="H422" s="13">
        <f t="shared" si="108"/>
        <v>0</v>
      </c>
      <c r="I422" s="13">
        <f t="shared" si="108"/>
        <v>532779.4</v>
      </c>
      <c r="X422" s="3">
        <v>1</v>
      </c>
    </row>
    <row r="423" spans="1:24" ht="12" customHeight="1" x14ac:dyDescent="0.55000000000000004">
      <c r="A423" s="14">
        <f>A422</f>
        <v>684</v>
      </c>
      <c r="B423" s="15"/>
      <c r="C423" s="16" t="s">
        <v>4</v>
      </c>
      <c r="D423" s="50">
        <v>380889</v>
      </c>
      <c r="E423" s="50"/>
      <c r="F423" s="50">
        <f>D423+E423</f>
        <v>380889</v>
      </c>
      <c r="G423" s="18">
        <v>360384.4</v>
      </c>
      <c r="H423" s="18"/>
      <c r="I423" s="18">
        <f>G423+H423</f>
        <v>360384.4</v>
      </c>
      <c r="X423" s="3">
        <v>2</v>
      </c>
    </row>
    <row r="424" spans="1:24" ht="12" customHeight="1" x14ac:dyDescent="0.55000000000000004">
      <c r="A424" s="14">
        <f>A423</f>
        <v>684</v>
      </c>
      <c r="B424" s="15"/>
      <c r="C424" s="16" t="s">
        <v>5</v>
      </c>
      <c r="D424" s="50">
        <v>116395</v>
      </c>
      <c r="E424" s="50"/>
      <c r="F424" s="50">
        <f>D424+E424</f>
        <v>116395</v>
      </c>
      <c r="G424" s="17">
        <v>121395</v>
      </c>
      <c r="H424" s="18"/>
      <c r="I424" s="18">
        <f>G424+H424</f>
        <v>121395</v>
      </c>
      <c r="X424" s="3">
        <v>3</v>
      </c>
    </row>
    <row r="425" spans="1:24" ht="12" customHeight="1" x14ac:dyDescent="0.55000000000000004">
      <c r="A425" s="14">
        <f>A424</f>
        <v>684</v>
      </c>
      <c r="B425" s="15"/>
      <c r="C425" s="19" t="s">
        <v>6</v>
      </c>
      <c r="D425" s="51">
        <v>51000</v>
      </c>
      <c r="E425" s="51"/>
      <c r="F425" s="51">
        <f>D425+E425</f>
        <v>51000</v>
      </c>
      <c r="G425" s="20">
        <v>51000</v>
      </c>
      <c r="H425" s="21"/>
      <c r="I425" s="21">
        <f>G425+H425</f>
        <v>51000</v>
      </c>
      <c r="X425" s="3">
        <v>4</v>
      </c>
    </row>
    <row r="426" spans="1:24" ht="12" customHeight="1" x14ac:dyDescent="0.55000000000000004">
      <c r="A426" s="10">
        <v>691</v>
      </c>
      <c r="B426" s="10" t="s">
        <v>2</v>
      </c>
      <c r="C426" s="11" t="s">
        <v>121</v>
      </c>
      <c r="D426" s="49">
        <f t="shared" ref="D426:I426" si="109">SUM(D427:D429)</f>
        <v>923977.04999999993</v>
      </c>
      <c r="E426" s="49">
        <f t="shared" si="109"/>
        <v>0</v>
      </c>
      <c r="F426" s="49">
        <f t="shared" si="109"/>
        <v>923977.04999999993</v>
      </c>
      <c r="G426" s="12">
        <f t="shared" si="109"/>
        <v>918338.7</v>
      </c>
      <c r="H426" s="13">
        <f t="shared" si="109"/>
        <v>0</v>
      </c>
      <c r="I426" s="13">
        <f t="shared" si="109"/>
        <v>918338.7</v>
      </c>
      <c r="X426" s="3">
        <v>1</v>
      </c>
    </row>
    <row r="427" spans="1:24" ht="12" customHeight="1" x14ac:dyDescent="0.55000000000000004">
      <c r="A427" s="14">
        <f>A426</f>
        <v>691</v>
      </c>
      <c r="B427" s="15"/>
      <c r="C427" s="16" t="s">
        <v>4</v>
      </c>
      <c r="D427" s="50">
        <v>833735.95</v>
      </c>
      <c r="E427" s="50"/>
      <c r="F427" s="50">
        <f>D427+E427</f>
        <v>833735.95</v>
      </c>
      <c r="G427" s="17">
        <v>828697.59999999998</v>
      </c>
      <c r="H427" s="18"/>
      <c r="I427" s="18">
        <f>G427+H427</f>
        <v>828697.59999999998</v>
      </c>
      <c r="X427" s="3">
        <v>2</v>
      </c>
    </row>
    <row r="428" spans="1:24" ht="12" customHeight="1" x14ac:dyDescent="0.55000000000000004">
      <c r="A428" s="14">
        <f>A427</f>
        <v>691</v>
      </c>
      <c r="B428" s="15"/>
      <c r="C428" s="16" t="s">
        <v>5</v>
      </c>
      <c r="D428" s="50">
        <v>28180</v>
      </c>
      <c r="E428" s="50"/>
      <c r="F428" s="50">
        <f>D428+E428</f>
        <v>28180</v>
      </c>
      <c r="G428" s="17">
        <v>30180</v>
      </c>
      <c r="H428" s="18"/>
      <c r="I428" s="18">
        <f>G428+H428</f>
        <v>30180</v>
      </c>
      <c r="X428" s="3">
        <v>3</v>
      </c>
    </row>
    <row r="429" spans="1:24" ht="12" customHeight="1" x14ac:dyDescent="0.55000000000000004">
      <c r="A429" s="14">
        <f>A428</f>
        <v>691</v>
      </c>
      <c r="B429" s="15"/>
      <c r="C429" s="19" t="s">
        <v>6</v>
      </c>
      <c r="D429" s="51">
        <v>62061.1</v>
      </c>
      <c r="E429" s="51"/>
      <c r="F429" s="51">
        <f>D429+E429</f>
        <v>62061.1</v>
      </c>
      <c r="G429" s="20">
        <v>59461.1</v>
      </c>
      <c r="H429" s="21"/>
      <c r="I429" s="21">
        <f>G429+H429</f>
        <v>59461.1</v>
      </c>
      <c r="X429" s="3">
        <v>4</v>
      </c>
    </row>
    <row r="430" spans="1:24" ht="12" customHeight="1" x14ac:dyDescent="0.55000000000000004">
      <c r="A430" s="10">
        <v>692</v>
      </c>
      <c r="B430" s="10" t="s">
        <v>2</v>
      </c>
      <c r="C430" s="11" t="s">
        <v>122</v>
      </c>
      <c r="D430" s="49">
        <f t="shared" ref="D430:I430" si="110">SUM(D431:D433)</f>
        <v>31407.9</v>
      </c>
      <c r="E430" s="49">
        <f t="shared" si="110"/>
        <v>0</v>
      </c>
      <c r="F430" s="49">
        <f t="shared" si="110"/>
        <v>31407.9</v>
      </c>
      <c r="G430" s="12">
        <f t="shared" si="110"/>
        <v>32088.138999999999</v>
      </c>
      <c r="H430" s="13">
        <f t="shared" si="110"/>
        <v>0</v>
      </c>
      <c r="I430" s="13">
        <f t="shared" si="110"/>
        <v>32088.138999999999</v>
      </c>
      <c r="X430" s="3">
        <v>1</v>
      </c>
    </row>
    <row r="431" spans="1:24" ht="12" customHeight="1" x14ac:dyDescent="0.55000000000000004">
      <c r="A431" s="14">
        <f>A430</f>
        <v>692</v>
      </c>
      <c r="B431" s="15"/>
      <c r="C431" s="16" t="s">
        <v>4</v>
      </c>
      <c r="D431" s="50">
        <v>25482.9</v>
      </c>
      <c r="E431" s="50"/>
      <c r="F431" s="50">
        <f>D431+E431</f>
        <v>25482.9</v>
      </c>
      <c r="G431" s="18">
        <v>26163.138999999999</v>
      </c>
      <c r="H431" s="18"/>
      <c r="I431" s="18">
        <f>G431+H431</f>
        <v>26163.138999999999</v>
      </c>
      <c r="X431" s="3">
        <v>2</v>
      </c>
    </row>
    <row r="432" spans="1:24" ht="12" customHeight="1" x14ac:dyDescent="0.55000000000000004">
      <c r="A432" s="14">
        <f>A431</f>
        <v>692</v>
      </c>
      <c r="B432" s="15"/>
      <c r="C432" s="16" t="s">
        <v>5</v>
      </c>
      <c r="D432" s="50">
        <v>5925</v>
      </c>
      <c r="E432" s="50"/>
      <c r="F432" s="50">
        <f>D432+E432</f>
        <v>5925</v>
      </c>
      <c r="G432" s="17">
        <v>5925</v>
      </c>
      <c r="H432" s="18"/>
      <c r="I432" s="18">
        <f>G432+H432</f>
        <v>5925</v>
      </c>
      <c r="X432" s="3">
        <v>3</v>
      </c>
    </row>
    <row r="433" spans="1:25" ht="12" customHeight="1" x14ac:dyDescent="0.55000000000000004">
      <c r="A433" s="14">
        <f>A432</f>
        <v>692</v>
      </c>
      <c r="B433" s="15"/>
      <c r="C433" s="19" t="s">
        <v>6</v>
      </c>
      <c r="D433" s="51">
        <v>0</v>
      </c>
      <c r="E433" s="51"/>
      <c r="F433" s="51">
        <f>D433+E433</f>
        <v>0</v>
      </c>
      <c r="G433" s="20">
        <v>0</v>
      </c>
      <c r="H433" s="21"/>
      <c r="I433" s="21">
        <f>G433+H433</f>
        <v>0</v>
      </c>
      <c r="X433" s="3">
        <v>4</v>
      </c>
    </row>
    <row r="434" spans="1:25" ht="12" customHeight="1" x14ac:dyDescent="0.55000000000000004">
      <c r="A434" s="10">
        <v>693</v>
      </c>
      <c r="B434" s="10" t="s">
        <v>2</v>
      </c>
      <c r="C434" s="11" t="s">
        <v>123</v>
      </c>
      <c r="D434" s="49">
        <f t="shared" ref="D434:I434" si="111">SUM(D435:D437)</f>
        <v>2222001.0490000001</v>
      </c>
      <c r="E434" s="49">
        <f t="shared" si="111"/>
        <v>0</v>
      </c>
      <c r="F434" s="49">
        <f t="shared" si="111"/>
        <v>2222001.0490000001</v>
      </c>
      <c r="G434" s="12">
        <f t="shared" si="111"/>
        <v>2330412.6320000002</v>
      </c>
      <c r="H434" s="13">
        <f t="shared" si="111"/>
        <v>0</v>
      </c>
      <c r="I434" s="13">
        <f t="shared" si="111"/>
        <v>2330412.6320000002</v>
      </c>
      <c r="X434" s="3">
        <v>1</v>
      </c>
    </row>
    <row r="435" spans="1:25" ht="12" customHeight="1" x14ac:dyDescent="0.55000000000000004">
      <c r="A435" s="14">
        <f>A434</f>
        <v>693</v>
      </c>
      <c r="B435" s="15"/>
      <c r="C435" s="16" t="s">
        <v>4</v>
      </c>
      <c r="D435" s="50">
        <v>2007001.0490000001</v>
      </c>
      <c r="E435" s="50"/>
      <c r="F435" s="50">
        <f>D435+E435</f>
        <v>2007001.0490000001</v>
      </c>
      <c r="G435" s="17">
        <v>2080412.632</v>
      </c>
      <c r="H435" s="18"/>
      <c r="I435" s="18">
        <f>G435+H435</f>
        <v>2080412.632</v>
      </c>
      <c r="X435" s="3">
        <v>2</v>
      </c>
    </row>
    <row r="436" spans="1:25" ht="12" customHeight="1" x14ac:dyDescent="0.55000000000000004">
      <c r="A436" s="14">
        <f>A435</f>
        <v>693</v>
      </c>
      <c r="B436" s="15"/>
      <c r="C436" s="16" t="s">
        <v>5</v>
      </c>
      <c r="D436" s="50">
        <v>215000</v>
      </c>
      <c r="E436" s="50"/>
      <c r="F436" s="50">
        <f>D436+E436</f>
        <v>215000</v>
      </c>
      <c r="G436" s="17">
        <v>250000</v>
      </c>
      <c r="H436" s="18"/>
      <c r="I436" s="18">
        <f>G436+H436</f>
        <v>250000</v>
      </c>
      <c r="X436" s="3">
        <v>3</v>
      </c>
    </row>
    <row r="437" spans="1:25" ht="12" customHeight="1" x14ac:dyDescent="0.55000000000000004">
      <c r="A437" s="14">
        <f>A436</f>
        <v>693</v>
      </c>
      <c r="B437" s="15"/>
      <c r="C437" s="19" t="s">
        <v>6</v>
      </c>
      <c r="D437" s="51">
        <v>0</v>
      </c>
      <c r="E437" s="51"/>
      <c r="F437" s="51">
        <f>D437+E437</f>
        <v>0</v>
      </c>
      <c r="G437" s="20">
        <v>0</v>
      </c>
      <c r="H437" s="21"/>
      <c r="I437" s="21">
        <f>G437+H437</f>
        <v>0</v>
      </c>
      <c r="X437" s="3">
        <v>4</v>
      </c>
    </row>
    <row r="438" spans="1:25" ht="12" customHeight="1" x14ac:dyDescent="0.55000000000000004">
      <c r="A438" s="10">
        <v>695</v>
      </c>
      <c r="B438" s="10" t="s">
        <v>2</v>
      </c>
      <c r="C438" s="11" t="s">
        <v>124</v>
      </c>
      <c r="D438" s="49">
        <f t="shared" ref="D438:I438" si="112">SUM(D439:D441)</f>
        <v>1444.5</v>
      </c>
      <c r="E438" s="49">
        <f t="shared" si="112"/>
        <v>0</v>
      </c>
      <c r="F438" s="49">
        <f t="shared" si="112"/>
        <v>1444.5</v>
      </c>
      <c r="G438" s="12">
        <f t="shared" si="112"/>
        <v>1510</v>
      </c>
      <c r="H438" s="13">
        <f t="shared" si="112"/>
        <v>0</v>
      </c>
      <c r="I438" s="13">
        <f t="shared" si="112"/>
        <v>1510</v>
      </c>
      <c r="X438" s="3">
        <v>1</v>
      </c>
    </row>
    <row r="439" spans="1:25" ht="12" customHeight="1" x14ac:dyDescent="0.55000000000000004">
      <c r="A439" s="14">
        <f>A438</f>
        <v>695</v>
      </c>
      <c r="B439" s="15"/>
      <c r="C439" s="16" t="s">
        <v>4</v>
      </c>
      <c r="D439" s="50">
        <v>1444.5</v>
      </c>
      <c r="E439" s="50"/>
      <c r="F439" s="50">
        <f>D439+E439</f>
        <v>1444.5</v>
      </c>
      <c r="G439" s="17">
        <v>1510</v>
      </c>
      <c r="H439" s="18"/>
      <c r="I439" s="18">
        <f>G439+H439</f>
        <v>1510</v>
      </c>
      <c r="X439" s="3">
        <v>2</v>
      </c>
    </row>
    <row r="440" spans="1:25" ht="12" customHeight="1" x14ac:dyDescent="0.55000000000000004">
      <c r="A440" s="14">
        <f>A439</f>
        <v>695</v>
      </c>
      <c r="B440" s="15"/>
      <c r="C440" s="16" t="s">
        <v>5</v>
      </c>
      <c r="D440" s="50">
        <v>0</v>
      </c>
      <c r="E440" s="50"/>
      <c r="F440" s="50">
        <f>D440+E440</f>
        <v>0</v>
      </c>
      <c r="G440" s="17">
        <v>0</v>
      </c>
      <c r="H440" s="18"/>
      <c r="I440" s="18">
        <f>G440+H440</f>
        <v>0</v>
      </c>
      <c r="X440" s="3">
        <v>3</v>
      </c>
    </row>
    <row r="441" spans="1:25" ht="12" customHeight="1" x14ac:dyDescent="0.55000000000000004">
      <c r="A441" s="14">
        <f>A440</f>
        <v>695</v>
      </c>
      <c r="B441" s="15"/>
      <c r="C441" s="19" t="s">
        <v>6</v>
      </c>
      <c r="D441" s="51">
        <v>0</v>
      </c>
      <c r="E441" s="51"/>
      <c r="F441" s="51">
        <f>D441+E441</f>
        <v>0</v>
      </c>
      <c r="G441" s="20">
        <v>0</v>
      </c>
      <c r="H441" s="21"/>
      <c r="I441" s="21">
        <f>G441+H441</f>
        <v>0</v>
      </c>
      <c r="X441" s="3">
        <v>4</v>
      </c>
    </row>
    <row r="442" spans="1:25" ht="12" customHeight="1" x14ac:dyDescent="0.55000000000000004">
      <c r="A442" s="10"/>
      <c r="B442" s="10"/>
      <c r="C442" s="22" t="s">
        <v>17</v>
      </c>
      <c r="D442" s="55">
        <f>SUMIF($X$382:$X$441, $Y442,D$382:D$441)</f>
        <v>5163966.3479999993</v>
      </c>
      <c r="E442" s="55">
        <f t="shared" ref="E442:F445" si="113">SUMIF($X$382:$X$441, $Y442,E$382:E$441)</f>
        <v>3935</v>
      </c>
      <c r="F442" s="55">
        <f t="shared" si="113"/>
        <v>5167901.3479999993</v>
      </c>
      <c r="G442" s="23">
        <f>SUMIF($X$382:$X$441, $Y442,G$382:G$441)</f>
        <v>5256068.9820000008</v>
      </c>
      <c r="H442" s="23">
        <f t="shared" ref="H442:I445" si="114">SUMIF($X$382:$X$441, $Y442,H$382:H$441)</f>
        <v>0</v>
      </c>
      <c r="I442" s="23">
        <f t="shared" si="114"/>
        <v>5256068.9820000008</v>
      </c>
      <c r="Y442" s="3">
        <v>1</v>
      </c>
    </row>
    <row r="443" spans="1:25" ht="12" customHeight="1" x14ac:dyDescent="0.55000000000000004">
      <c r="A443" s="14"/>
      <c r="B443" s="15"/>
      <c r="C443" s="24" t="s">
        <v>4</v>
      </c>
      <c r="D443" s="55">
        <f>SUMIF($X$382:$X$441, $Y443,D$382:D$441)</f>
        <v>4622680.9989999998</v>
      </c>
      <c r="E443" s="55">
        <f t="shared" si="113"/>
        <v>0</v>
      </c>
      <c r="F443" s="55">
        <f t="shared" si="113"/>
        <v>4622680.9989999998</v>
      </c>
      <c r="G443" s="23">
        <f>SUMIF($X$382:$X$441, $Y443,G$382:G$441)</f>
        <v>4701325.0709999995</v>
      </c>
      <c r="H443" s="23">
        <f t="shared" si="114"/>
        <v>0</v>
      </c>
      <c r="I443" s="23">
        <f t="shared" si="114"/>
        <v>4701325.0709999995</v>
      </c>
      <c r="Y443" s="3">
        <v>2</v>
      </c>
    </row>
    <row r="444" spans="1:25" ht="12" customHeight="1" x14ac:dyDescent="0.55000000000000004">
      <c r="A444" s="14"/>
      <c r="B444" s="15"/>
      <c r="C444" s="24" t="s">
        <v>5</v>
      </c>
      <c r="D444" s="55">
        <f>SUMIF($X$382:$X$441, $Y444,D$382:D$441)</f>
        <v>397374.8</v>
      </c>
      <c r="E444" s="55">
        <f t="shared" si="113"/>
        <v>3935</v>
      </c>
      <c r="F444" s="55">
        <f t="shared" si="113"/>
        <v>401309.8</v>
      </c>
      <c r="G444" s="23">
        <f>SUMIF($X$382:$X$441, $Y444,G$382:G$441)</f>
        <v>438660.7</v>
      </c>
      <c r="H444" s="23">
        <f t="shared" si="114"/>
        <v>0</v>
      </c>
      <c r="I444" s="23">
        <f t="shared" si="114"/>
        <v>438660.7</v>
      </c>
      <c r="Y444" s="3">
        <v>3</v>
      </c>
    </row>
    <row r="445" spans="1:25" ht="12" customHeight="1" x14ac:dyDescent="0.55000000000000004">
      <c r="A445" s="14"/>
      <c r="B445" s="15"/>
      <c r="C445" s="27" t="s">
        <v>6</v>
      </c>
      <c r="D445" s="57">
        <f>SUMIF($X$382:$X$441, $Y445,D$382:D$441)</f>
        <v>143910.549</v>
      </c>
      <c r="E445" s="57">
        <f t="shared" si="113"/>
        <v>0</v>
      </c>
      <c r="F445" s="57">
        <f t="shared" si="113"/>
        <v>143910.549</v>
      </c>
      <c r="G445" s="28">
        <f>SUMIF($X$382:$X$441, $Y445,G$382:G$441)</f>
        <v>116083.211</v>
      </c>
      <c r="H445" s="28">
        <f t="shared" si="114"/>
        <v>0</v>
      </c>
      <c r="I445" s="28">
        <f t="shared" si="114"/>
        <v>116083.211</v>
      </c>
      <c r="Y445" s="3">
        <v>4</v>
      </c>
    </row>
    <row r="446" spans="1:25" ht="12" customHeight="1" x14ac:dyDescent="0.55000000000000004">
      <c r="A446" s="10"/>
      <c r="B446" s="10"/>
      <c r="C446" s="29" t="s">
        <v>18</v>
      </c>
      <c r="D446" s="58">
        <f>SUMIF($X$1:$X$441, $Y446,D$1:D$441)</f>
        <v>132752479.81300002</v>
      </c>
      <c r="E446" s="58">
        <f t="shared" ref="E446:F449" si="115">SUMIF($X$1:$X$441, $Y446,E$1:E$441)</f>
        <v>53317248.261</v>
      </c>
      <c r="F446" s="58">
        <f t="shared" si="115"/>
        <v>186069728.074</v>
      </c>
      <c r="G446" s="30">
        <f>SUMIF($X$1:$X$441, $Y446,G$1:G$441)</f>
        <v>135935944.41500008</v>
      </c>
      <c r="H446" s="30">
        <f t="shared" ref="H446:I449" si="116">SUMIF($X$1:$X$441, $Y446,H$1:H$441)</f>
        <v>54596625.482000001</v>
      </c>
      <c r="I446" s="30">
        <f t="shared" si="116"/>
        <v>190532569.89700004</v>
      </c>
      <c r="Y446" s="3">
        <v>1</v>
      </c>
    </row>
    <row r="447" spans="1:25" ht="12" customHeight="1" x14ac:dyDescent="0.55000000000000004">
      <c r="A447" s="14"/>
      <c r="B447" s="15"/>
      <c r="C447" s="31" t="s">
        <v>4</v>
      </c>
      <c r="D447" s="58">
        <f>SUMIF($X$1:$X$441, $Y447,D$1:D$441)</f>
        <v>52356923.993999995</v>
      </c>
      <c r="E447" s="58">
        <f t="shared" si="115"/>
        <v>0</v>
      </c>
      <c r="F447" s="58">
        <f t="shared" si="115"/>
        <v>52356923.993999995</v>
      </c>
      <c r="G447" s="30">
        <f>SUMIF($X$1:$X$441, $Y447,G$1:G$441)</f>
        <v>53733146.588999994</v>
      </c>
      <c r="H447" s="30">
        <f t="shared" si="116"/>
        <v>0</v>
      </c>
      <c r="I447" s="30">
        <f t="shared" si="116"/>
        <v>53733146.588999994</v>
      </c>
      <c r="Y447" s="3">
        <v>2</v>
      </c>
    </row>
    <row r="448" spans="1:25" ht="12" customHeight="1" x14ac:dyDescent="0.55000000000000004">
      <c r="A448" s="14"/>
      <c r="B448" s="15"/>
      <c r="C448" s="31" t="s">
        <v>5</v>
      </c>
      <c r="D448" s="58">
        <f>SUMIF($X$1:$X$441, $Y448,D$1:D$441)</f>
        <v>61880952.547999986</v>
      </c>
      <c r="E448" s="58">
        <f t="shared" si="115"/>
        <v>50592004.019000001</v>
      </c>
      <c r="F448" s="58">
        <f t="shared" si="115"/>
        <v>112472956.567</v>
      </c>
      <c r="G448" s="30">
        <f>SUMIF($X$1:$X$441, $Y448,G$1:G$441)</f>
        <v>66345049.518000007</v>
      </c>
      <c r="H448" s="30">
        <f t="shared" si="116"/>
        <v>52065650.149999999</v>
      </c>
      <c r="I448" s="30">
        <f t="shared" si="116"/>
        <v>118410699.66800003</v>
      </c>
      <c r="Y448" s="3">
        <v>3</v>
      </c>
    </row>
    <row r="449" spans="1:87" ht="12" customHeight="1" x14ac:dyDescent="0.55000000000000004">
      <c r="A449" s="14"/>
      <c r="B449" s="15"/>
      <c r="C449" s="32" t="s">
        <v>6</v>
      </c>
      <c r="D449" s="59">
        <f>SUMIF($X$1:$X$441, $Y449,D$1:D$441)</f>
        <v>18514603.271000005</v>
      </c>
      <c r="E449" s="59">
        <f t="shared" si="115"/>
        <v>2725244.2420000001</v>
      </c>
      <c r="F449" s="59">
        <f t="shared" si="115"/>
        <v>21239847.513000004</v>
      </c>
      <c r="G449" s="33">
        <f>SUMIF($X$1:$X$441, $Y449,G$1:G$441)</f>
        <v>15857748.307999998</v>
      </c>
      <c r="H449" s="33">
        <f t="shared" si="116"/>
        <v>2530975.3319999999</v>
      </c>
      <c r="I449" s="33">
        <f t="shared" si="116"/>
        <v>18388723.640000001</v>
      </c>
      <c r="Y449" s="3">
        <v>4</v>
      </c>
    </row>
    <row r="450" spans="1:87" ht="12" customHeight="1" x14ac:dyDescent="0.55000000000000004">
      <c r="A450" s="25"/>
      <c r="B450" s="25"/>
      <c r="C450" s="25" t="s">
        <v>19</v>
      </c>
      <c r="D450" s="56"/>
      <c r="E450" s="56"/>
      <c r="F450" s="56"/>
      <c r="G450" s="26"/>
      <c r="H450" s="26"/>
      <c r="I450" s="26"/>
    </row>
    <row r="451" spans="1:87" s="3" customFormat="1" ht="12" customHeight="1" x14ac:dyDescent="0.55000000000000004">
      <c r="A451" s="10" t="s">
        <v>20</v>
      </c>
      <c r="B451" s="10"/>
      <c r="C451" s="11" t="s">
        <v>125</v>
      </c>
      <c r="D451" s="52">
        <f t="shared" ref="D451:I451" si="117">SUM(D452:D454)</f>
        <v>-5774104.4009999996</v>
      </c>
      <c r="E451" s="49">
        <f t="shared" si="117"/>
        <v>0</v>
      </c>
      <c r="F451" s="49">
        <f t="shared" si="117"/>
        <v>-5774104.4009999996</v>
      </c>
      <c r="G451" s="13">
        <f t="shared" si="117"/>
        <v>-5985438.4000000004</v>
      </c>
      <c r="H451" s="13">
        <f t="shared" si="117"/>
        <v>0</v>
      </c>
      <c r="I451" s="13">
        <f t="shared" si="117"/>
        <v>-5985438.4000000004</v>
      </c>
      <c r="S451"/>
      <c r="T451"/>
      <c r="U451"/>
      <c r="V451"/>
      <c r="W451"/>
      <c r="X451" s="3">
        <v>1</v>
      </c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</row>
    <row r="452" spans="1:87" s="3" customFormat="1" ht="12" customHeight="1" x14ac:dyDescent="0.55000000000000004">
      <c r="A452" s="14"/>
      <c r="B452" s="15"/>
      <c r="C452" s="16" t="s">
        <v>4</v>
      </c>
      <c r="D452" s="53">
        <v>0</v>
      </c>
      <c r="E452" s="50"/>
      <c r="F452" s="50">
        <f>D452+E452</f>
        <v>0</v>
      </c>
      <c r="G452" s="18">
        <v>0</v>
      </c>
      <c r="H452" s="18"/>
      <c r="I452" s="18">
        <f>G452+H452</f>
        <v>0</v>
      </c>
      <c r="S452"/>
      <c r="T452"/>
      <c r="U452"/>
      <c r="V452"/>
      <c r="W452"/>
      <c r="X452" s="3">
        <v>2</v>
      </c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</row>
    <row r="453" spans="1:87" ht="12" customHeight="1" x14ac:dyDescent="0.55000000000000004">
      <c r="A453" s="14"/>
      <c r="B453" s="15"/>
      <c r="C453" s="16" t="s">
        <v>5</v>
      </c>
      <c r="D453" s="53">
        <v>-5774104.4009999996</v>
      </c>
      <c r="E453" s="50"/>
      <c r="F453" s="50">
        <f>D453+E453</f>
        <v>-5774104.4009999996</v>
      </c>
      <c r="G453" s="18">
        <v>-5985438.4000000004</v>
      </c>
      <c r="H453" s="18"/>
      <c r="I453" s="18">
        <f>G453+H453</f>
        <v>-5985438.4000000004</v>
      </c>
      <c r="X453" s="3">
        <v>3</v>
      </c>
    </row>
    <row r="454" spans="1:87" ht="12" customHeight="1" x14ac:dyDescent="0.55000000000000004">
      <c r="A454" s="14"/>
      <c r="B454" s="15"/>
      <c r="C454" s="19" t="s">
        <v>6</v>
      </c>
      <c r="D454" s="54">
        <v>0</v>
      </c>
      <c r="E454" s="51"/>
      <c r="F454" s="51">
        <f>D454+E454</f>
        <v>0</v>
      </c>
      <c r="G454" s="21">
        <v>0</v>
      </c>
      <c r="H454" s="21"/>
      <c r="I454" s="21">
        <f>G454+H454</f>
        <v>0</v>
      </c>
      <c r="X454" s="3">
        <v>4</v>
      </c>
    </row>
    <row r="455" spans="1:87" ht="12" customHeight="1" x14ac:dyDescent="0.55000000000000004">
      <c r="A455" s="10"/>
      <c r="B455" s="10"/>
      <c r="C455" s="34" t="s">
        <v>21</v>
      </c>
      <c r="D455" s="60">
        <f t="shared" ref="D455:I458" si="118">SUMIF($X$1:$X$454, $Y455,D$1:D$454)</f>
        <v>126978375.41200003</v>
      </c>
      <c r="E455" s="60">
        <f t="shared" si="118"/>
        <v>53317248.261</v>
      </c>
      <c r="F455" s="60">
        <f t="shared" si="118"/>
        <v>180295623.67300001</v>
      </c>
      <c r="G455" s="35">
        <f t="shared" si="118"/>
        <v>129950506.01500008</v>
      </c>
      <c r="H455" s="35">
        <f t="shared" si="118"/>
        <v>54596625.482000001</v>
      </c>
      <c r="I455" s="35">
        <f t="shared" si="118"/>
        <v>184547131.49700004</v>
      </c>
      <c r="Y455" s="3">
        <v>1</v>
      </c>
    </row>
    <row r="456" spans="1:87" ht="12" customHeight="1" x14ac:dyDescent="0.55000000000000004">
      <c r="A456" s="14"/>
      <c r="B456" s="15"/>
      <c r="C456" s="36" t="s">
        <v>4</v>
      </c>
      <c r="D456" s="60">
        <f t="shared" si="118"/>
        <v>52356923.993999995</v>
      </c>
      <c r="E456" s="60">
        <f t="shared" si="118"/>
        <v>0</v>
      </c>
      <c r="F456" s="60">
        <f t="shared" si="118"/>
        <v>52356923.993999995</v>
      </c>
      <c r="G456" s="35">
        <f t="shared" si="118"/>
        <v>53733146.588999994</v>
      </c>
      <c r="H456" s="35">
        <f t="shared" si="118"/>
        <v>0</v>
      </c>
      <c r="I456" s="35">
        <f t="shared" si="118"/>
        <v>53733146.588999994</v>
      </c>
      <c r="Y456" s="3">
        <v>2</v>
      </c>
    </row>
    <row r="457" spans="1:87" ht="12" customHeight="1" x14ac:dyDescent="0.55000000000000004">
      <c r="A457" s="14"/>
      <c r="B457" s="15"/>
      <c r="C457" s="36" t="s">
        <v>5</v>
      </c>
      <c r="D457" s="60">
        <f t="shared" si="118"/>
        <v>56106848.146999985</v>
      </c>
      <c r="E457" s="60">
        <f t="shared" si="118"/>
        <v>50592004.019000001</v>
      </c>
      <c r="F457" s="60">
        <f t="shared" si="118"/>
        <v>106698852.16600001</v>
      </c>
      <c r="G457" s="35">
        <f t="shared" si="118"/>
        <v>60359611.118000008</v>
      </c>
      <c r="H457" s="35">
        <f t="shared" si="118"/>
        <v>52065650.149999999</v>
      </c>
      <c r="I457" s="35">
        <f t="shared" si="118"/>
        <v>112425261.26800002</v>
      </c>
      <c r="Y457" s="3">
        <v>3</v>
      </c>
    </row>
    <row r="458" spans="1:87" ht="12" customHeight="1" x14ac:dyDescent="0.55000000000000004">
      <c r="A458" s="14"/>
      <c r="B458" s="15"/>
      <c r="C458" s="37" t="s">
        <v>6</v>
      </c>
      <c r="D458" s="61">
        <f t="shared" si="118"/>
        <v>18514603.271000005</v>
      </c>
      <c r="E458" s="61">
        <f t="shared" si="118"/>
        <v>2725244.2420000001</v>
      </c>
      <c r="F458" s="61">
        <f t="shared" si="118"/>
        <v>21239847.513000004</v>
      </c>
      <c r="G458" s="38">
        <f t="shared" si="118"/>
        <v>15857748.307999998</v>
      </c>
      <c r="H458" s="38">
        <f t="shared" si="118"/>
        <v>2530975.3319999999</v>
      </c>
      <c r="I458" s="38">
        <f t="shared" si="118"/>
        <v>18388723.640000001</v>
      </c>
      <c r="Y458" s="3">
        <v>4</v>
      </c>
    </row>
    <row r="465" spans="1:87" s="39" customFormat="1" x14ac:dyDescent="0.55000000000000004">
      <c r="A465" s="2"/>
      <c r="B465"/>
      <c r="C465"/>
      <c r="D465" s="62"/>
      <c r="E465" s="62"/>
      <c r="F465" s="62"/>
      <c r="G465" s="40"/>
      <c r="H465" s="40"/>
      <c r="I465" s="40"/>
      <c r="J465" s="3"/>
      <c r="K465" s="3"/>
      <c r="L465" s="3"/>
      <c r="M465" s="3"/>
      <c r="N465" s="3"/>
      <c r="O465" s="3"/>
      <c r="P465" s="3"/>
      <c r="Q465" s="3"/>
      <c r="R465" s="3"/>
      <c r="S465"/>
      <c r="T465"/>
      <c r="U465"/>
      <c r="V465"/>
      <c r="W465"/>
      <c r="X465" s="3"/>
      <c r="Y465" s="3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</row>
    <row r="466" spans="1:87" s="39" customFormat="1" x14ac:dyDescent="0.55000000000000004">
      <c r="A466" s="2"/>
      <c r="B466"/>
      <c r="C466"/>
      <c r="D466" s="62"/>
      <c r="E466" s="62"/>
      <c r="F466" s="62"/>
      <c r="G466" s="40"/>
      <c r="H466" s="40"/>
      <c r="I466" s="40"/>
      <c r="J466" s="3"/>
      <c r="K466" s="3"/>
      <c r="L466" s="3"/>
      <c r="M466" s="3"/>
      <c r="N466" s="3"/>
      <c r="O466" s="3"/>
      <c r="P466" s="3"/>
      <c r="Q466" s="3"/>
      <c r="R466" s="3"/>
      <c r="S466"/>
      <c r="T466"/>
      <c r="U466"/>
      <c r="V466"/>
      <c r="W466"/>
      <c r="X466" s="3"/>
      <c r="Y466" s="3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</row>
    <row r="467" spans="1:87" s="39" customFormat="1" x14ac:dyDescent="0.55000000000000004">
      <c r="A467" s="2"/>
      <c r="B467"/>
      <c r="C467"/>
      <c r="D467" s="62"/>
      <c r="E467" s="62"/>
      <c r="F467" s="62"/>
      <c r="G467" s="40"/>
      <c r="H467" s="40"/>
      <c r="I467" s="40"/>
      <c r="J467" s="3"/>
      <c r="K467" s="3"/>
      <c r="L467" s="3"/>
      <c r="M467" s="3"/>
      <c r="N467" s="3"/>
      <c r="O467" s="3"/>
      <c r="P467" s="3"/>
      <c r="Q467" s="3"/>
      <c r="R467" s="3"/>
      <c r="S467"/>
      <c r="T467"/>
      <c r="U467"/>
      <c r="V467"/>
      <c r="W467"/>
      <c r="X467" s="3"/>
      <c r="Y467" s="3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</row>
    <row r="468" spans="1:87" s="39" customFormat="1" x14ac:dyDescent="0.55000000000000004">
      <c r="A468" s="2"/>
      <c r="B468"/>
      <c r="C468"/>
      <c r="D468" s="62"/>
      <c r="E468" s="62"/>
      <c r="F468" s="62"/>
      <c r="G468" s="40"/>
      <c r="H468" s="40"/>
      <c r="I468" s="40"/>
      <c r="J468" s="3"/>
      <c r="K468" s="3"/>
      <c r="L468" s="3"/>
      <c r="M468" s="3"/>
      <c r="N468" s="3"/>
      <c r="O468" s="3"/>
      <c r="P468" s="3"/>
      <c r="Q468" s="3"/>
      <c r="R468" s="3"/>
      <c r="S468"/>
      <c r="T468"/>
      <c r="U468"/>
      <c r="V468"/>
      <c r="W468"/>
      <c r="X468" s="3"/>
      <c r="Y468" s="3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</row>
    <row r="469" spans="1:87" s="39" customFormat="1" x14ac:dyDescent="0.55000000000000004">
      <c r="A469" s="2"/>
      <c r="B469"/>
      <c r="C469"/>
      <c r="D469" s="62"/>
      <c r="E469" s="62"/>
      <c r="F469" s="62"/>
      <c r="G469" s="40"/>
      <c r="H469" s="40"/>
      <c r="I469" s="40"/>
      <c r="J469" s="3"/>
      <c r="K469" s="3"/>
      <c r="L469" s="3"/>
      <c r="M469" s="3"/>
      <c r="N469" s="3"/>
      <c r="O469" s="3"/>
      <c r="P469" s="3"/>
      <c r="Q469" s="3"/>
      <c r="R469" s="3"/>
      <c r="S469"/>
      <c r="T469"/>
      <c r="U469"/>
      <c r="V469"/>
      <c r="W469"/>
      <c r="X469" s="3"/>
      <c r="Y469" s="3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</row>
    <row r="470" spans="1:87" s="39" customFormat="1" x14ac:dyDescent="0.55000000000000004">
      <c r="A470" s="2"/>
      <c r="B470"/>
      <c r="C470"/>
      <c r="D470" s="62"/>
      <c r="E470" s="62"/>
      <c r="F470" s="62"/>
      <c r="G470" s="40"/>
      <c r="H470" s="40"/>
      <c r="I470" s="40"/>
      <c r="J470" s="3"/>
      <c r="K470" s="3"/>
      <c r="L470" s="3"/>
      <c r="M470" s="3"/>
      <c r="N470" s="3"/>
      <c r="O470" s="3"/>
      <c r="P470" s="3"/>
      <c r="Q470" s="3"/>
      <c r="R470" s="3"/>
      <c r="S470"/>
      <c r="T470"/>
      <c r="U470"/>
      <c r="V470"/>
      <c r="W470"/>
      <c r="X470" s="3"/>
      <c r="Y470" s="3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</row>
    <row r="471" spans="1:87" s="39" customFormat="1" x14ac:dyDescent="0.55000000000000004">
      <c r="A471" s="2"/>
      <c r="B471"/>
      <c r="C471"/>
      <c r="D471" s="62"/>
      <c r="E471" s="62"/>
      <c r="F471" s="62"/>
      <c r="G471" s="40"/>
      <c r="H471" s="40"/>
      <c r="I471" s="40"/>
      <c r="J471" s="3"/>
      <c r="K471" s="3"/>
      <c r="L471" s="3"/>
      <c r="M471" s="3"/>
      <c r="N471" s="3"/>
      <c r="O471" s="3"/>
      <c r="P471" s="3"/>
      <c r="Q471" s="3"/>
      <c r="R471" s="3"/>
      <c r="S471"/>
      <c r="T471"/>
      <c r="U471"/>
      <c r="V471"/>
      <c r="W471"/>
      <c r="X471" s="3"/>
      <c r="Y471" s="3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</row>
    <row r="472" spans="1:87" s="39" customFormat="1" x14ac:dyDescent="0.55000000000000004">
      <c r="A472" s="2"/>
      <c r="B472"/>
      <c r="C472"/>
      <c r="D472" s="62"/>
      <c r="E472" s="62"/>
      <c r="F472" s="62"/>
      <c r="G472" s="40"/>
      <c r="H472" s="40"/>
      <c r="I472" s="40"/>
      <c r="J472" s="3"/>
      <c r="K472" s="3"/>
      <c r="L472" s="3"/>
      <c r="M472" s="3"/>
      <c r="N472" s="3"/>
      <c r="O472" s="3"/>
      <c r="P472" s="3"/>
      <c r="Q472" s="3"/>
      <c r="R472" s="3"/>
      <c r="S472"/>
      <c r="T472"/>
      <c r="U472"/>
      <c r="V472"/>
      <c r="W472"/>
      <c r="X472" s="3"/>
      <c r="Y472" s="3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</row>
    <row r="473" spans="1:87" s="39" customFormat="1" x14ac:dyDescent="0.55000000000000004">
      <c r="A473" s="2"/>
      <c r="B473"/>
      <c r="C473"/>
      <c r="D473" s="62"/>
      <c r="E473" s="62"/>
      <c r="F473" s="62"/>
      <c r="G473" s="40"/>
      <c r="H473" s="40"/>
      <c r="I473" s="40"/>
      <c r="J473" s="3"/>
      <c r="K473" s="3"/>
      <c r="L473" s="3"/>
      <c r="M473" s="3"/>
      <c r="N473" s="3"/>
      <c r="O473" s="3"/>
      <c r="P473" s="3"/>
      <c r="Q473" s="3"/>
      <c r="R473" s="3"/>
      <c r="S473"/>
      <c r="T473"/>
      <c r="U473"/>
      <c r="V473"/>
      <c r="W473"/>
      <c r="X473" s="3"/>
      <c r="Y473" s="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</row>
    <row r="474" spans="1:87" s="39" customFormat="1" x14ac:dyDescent="0.55000000000000004">
      <c r="A474" s="2"/>
      <c r="B474"/>
      <c r="C474"/>
      <c r="D474" s="62"/>
      <c r="E474" s="62"/>
      <c r="F474" s="62"/>
      <c r="G474" s="40"/>
      <c r="H474" s="40"/>
      <c r="I474" s="40"/>
      <c r="J474" s="3"/>
      <c r="K474" s="3"/>
      <c r="L474" s="3"/>
      <c r="M474" s="3"/>
      <c r="N474" s="3"/>
      <c r="O474" s="3"/>
      <c r="P474" s="3"/>
      <c r="Q474" s="3"/>
      <c r="R474" s="3"/>
      <c r="S474"/>
      <c r="T474"/>
      <c r="U474"/>
      <c r="V474"/>
      <c r="W474"/>
      <c r="X474" s="3"/>
      <c r="Y474" s="3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</row>
    <row r="475" spans="1:87" s="39" customFormat="1" x14ac:dyDescent="0.55000000000000004">
      <c r="A475" s="2"/>
      <c r="B475"/>
      <c r="C475"/>
      <c r="D475" s="62"/>
      <c r="E475" s="62"/>
      <c r="F475" s="62"/>
      <c r="G475" s="40"/>
      <c r="H475" s="40"/>
      <c r="I475" s="40"/>
      <c r="J475" s="3"/>
      <c r="K475" s="3"/>
      <c r="L475" s="3"/>
      <c r="M475" s="3"/>
      <c r="N475" s="3"/>
      <c r="O475" s="3"/>
      <c r="P475" s="3"/>
      <c r="Q475" s="3"/>
      <c r="R475" s="3"/>
      <c r="S475"/>
      <c r="T475"/>
      <c r="U475"/>
      <c r="V475"/>
      <c r="W475"/>
      <c r="X475" s="3"/>
      <c r="Y475" s="3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</row>
    <row r="476" spans="1:87" s="39" customFormat="1" x14ac:dyDescent="0.55000000000000004">
      <c r="A476" s="2"/>
      <c r="B476"/>
      <c r="C476"/>
      <c r="D476" s="62"/>
      <c r="E476" s="62"/>
      <c r="F476" s="62"/>
      <c r="G476" s="40"/>
      <c r="H476" s="40"/>
      <c r="I476" s="40"/>
      <c r="J476" s="3"/>
      <c r="K476" s="3"/>
      <c r="L476" s="3"/>
      <c r="M476" s="3"/>
      <c r="N476" s="3"/>
      <c r="O476" s="3"/>
      <c r="P476" s="3"/>
      <c r="Q476" s="3"/>
      <c r="R476" s="3"/>
      <c r="S476"/>
      <c r="T476"/>
      <c r="U476"/>
      <c r="V476"/>
      <c r="W476"/>
      <c r="X476" s="3"/>
      <c r="Y476" s="3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</row>
    <row r="477" spans="1:87" s="39" customFormat="1" x14ac:dyDescent="0.55000000000000004">
      <c r="A477" s="2"/>
      <c r="B477"/>
      <c r="C477"/>
      <c r="D477" s="62"/>
      <c r="E477" s="62"/>
      <c r="F477" s="62"/>
      <c r="G477" s="40"/>
      <c r="H477" s="40"/>
      <c r="I477" s="40"/>
      <c r="J477" s="3"/>
      <c r="K477" s="3"/>
      <c r="L477" s="3"/>
      <c r="M477" s="3"/>
      <c r="N477" s="3"/>
      <c r="O477" s="3"/>
      <c r="P477" s="3"/>
      <c r="Q477" s="3"/>
      <c r="R477" s="3"/>
      <c r="S477"/>
      <c r="T477"/>
      <c r="U477"/>
      <c r="V477"/>
      <c r="W477"/>
      <c r="X477" s="3"/>
      <c r="Y477" s="3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</row>
    <row r="478" spans="1:87" s="39" customFormat="1" x14ac:dyDescent="0.55000000000000004">
      <c r="A478" s="2"/>
      <c r="B478"/>
      <c r="C478"/>
      <c r="D478" s="62"/>
      <c r="E478" s="62"/>
      <c r="F478" s="62"/>
      <c r="G478" s="40"/>
      <c r="H478" s="40"/>
      <c r="I478" s="40"/>
      <c r="J478" s="3"/>
      <c r="K478" s="3"/>
      <c r="L478" s="3"/>
      <c r="M478" s="3"/>
      <c r="N478" s="3"/>
      <c r="O478" s="3"/>
      <c r="P478" s="3"/>
      <c r="Q478" s="3"/>
      <c r="R478" s="3"/>
      <c r="S478"/>
      <c r="T478"/>
      <c r="U478"/>
      <c r="V478"/>
      <c r="W478"/>
      <c r="X478" s="3"/>
      <c r="Y478" s="3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</row>
    <row r="479" spans="1:87" s="39" customFormat="1" x14ac:dyDescent="0.55000000000000004">
      <c r="A479" s="2"/>
      <c r="B479"/>
      <c r="C479"/>
      <c r="D479" s="62"/>
      <c r="E479" s="62"/>
      <c r="F479" s="62"/>
      <c r="G479" s="40"/>
      <c r="H479" s="40"/>
      <c r="I479" s="40"/>
      <c r="J479" s="3"/>
      <c r="K479" s="3"/>
      <c r="L479" s="3"/>
      <c r="M479" s="3"/>
      <c r="N479" s="3"/>
      <c r="O479" s="3"/>
      <c r="P479" s="3"/>
      <c r="Q479" s="3"/>
      <c r="R479" s="3"/>
      <c r="S479"/>
      <c r="T479"/>
      <c r="U479"/>
      <c r="V479"/>
      <c r="W479"/>
      <c r="X479" s="3"/>
      <c r="Y479" s="3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</row>
  </sheetData>
  <autoFilter ref="A3:Y458" xr:uid="{894F0F44-EF88-449C-86B2-A9F56FA06ECF}"/>
  <conditionalFormatting sqref="D3:I3">
    <cfRule type="containsText" dxfId="0" priority="1" stopIfTrue="1" operator="containsText" text="TableTrack">
      <formula>NOT(ISERROR(SEARCH("TableTrack",D3)))</formula>
    </cfRule>
  </conditionalFormatting>
  <pageMargins left="0.25" right="0.25" top="0.5" bottom="0.5" header="0.3" footer="0.3"/>
  <pageSetup scale="8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TableTrack</vt:lpstr>
      <vt:lpstr>TableTrack!Print_Area</vt:lpstr>
      <vt:lpstr>TableTrack!Print_Titles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Staley, Marc</dc:creator>
  <cp:lastModifiedBy>Wilbur-Mujtaba, Alea</cp:lastModifiedBy>
  <cp:lastPrinted>2025-07-28T13:16:48Z</cp:lastPrinted>
  <dcterms:created xsi:type="dcterms:W3CDTF">2025-07-24T13:24:50Z</dcterms:created>
  <dcterms:modified xsi:type="dcterms:W3CDTF">2025-12-02T20:12:01Z</dcterms:modified>
</cp:coreProperties>
</file>