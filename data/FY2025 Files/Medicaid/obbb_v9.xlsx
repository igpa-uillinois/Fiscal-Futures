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aw\Documents\PhD Fall 2021 - Spring 2022\Merriman RA\Fiscal Futures IGPA\Fiscal-Future-Topics\data\FY2025 Files\Medicaid\"/>
    </mc:Choice>
  </mc:AlternateContent>
  <xr:revisionPtr revIDLastSave="0" documentId="13_ncr:1_{7E5FE00A-4A0F-48EB-ACC8-8D1187E62166}" xr6:coauthVersionLast="47" xr6:coauthVersionMax="47" xr10:uidLastSave="{00000000-0000-0000-0000-000000000000}"/>
  <bookViews>
    <workbookView xWindow="2166" yWindow="2166" windowWidth="17280" windowHeight="8994" xr2:uid="{83A66CF9-30A3-4BA7-A497-4BAECE955A06}"/>
  </bookViews>
  <sheets>
    <sheet name="Sheet1" sheetId="6" r:id="rId1"/>
    <sheet name="Logic_Model" sheetId="1" r:id="rId2"/>
    <sheet name="Revenue_Forecasts" sheetId="3" r:id="rId3"/>
    <sheet name="For_Alea" sheetId="4" r:id="rId4"/>
    <sheet name="Sankey_Ale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6" l="1"/>
  <c r="B4" i="6"/>
  <c r="B3" i="6"/>
  <c r="B2" i="6"/>
  <c r="C1" i="6"/>
  <c r="D1" i="6" s="1"/>
  <c r="E1" i="6" s="1"/>
  <c r="F1" i="6" s="1"/>
  <c r="G1" i="6" s="1"/>
  <c r="H1" i="6" s="1"/>
  <c r="I1" i="6" s="1"/>
  <c r="J1" i="6" s="1"/>
  <c r="B1" i="3" l="1"/>
  <c r="O35" i="3"/>
  <c r="N35" i="3"/>
  <c r="M35" i="3"/>
  <c r="L35" i="3"/>
  <c r="L53" i="3"/>
  <c r="O46" i="3"/>
  <c r="O47" i="3" s="1"/>
  <c r="O48" i="3" s="1"/>
  <c r="O41" i="3" s="1"/>
  <c r="N46" i="3"/>
  <c r="N47" i="3" s="1"/>
  <c r="N48" i="3" s="1"/>
  <c r="N41" i="3" s="1"/>
  <c r="M46" i="3"/>
  <c r="L46" i="3"/>
  <c r="K46" i="3"/>
  <c r="K45" i="3"/>
  <c r="K44" i="3"/>
  <c r="K43" i="3"/>
  <c r="K42" i="3"/>
  <c r="K31" i="3"/>
  <c r="K32" i="3"/>
  <c r="K33" i="3"/>
  <c r="E10" i="3"/>
  <c r="B28" i="1"/>
  <c r="B21" i="1"/>
  <c r="L47" i="3" l="1"/>
  <c r="L48" i="3" s="1"/>
  <c r="L41" i="3" s="1"/>
  <c r="M47" i="3"/>
  <c r="M48" i="3" s="1"/>
  <c r="M41" i="3" s="1"/>
  <c r="M44" i="3" s="1"/>
  <c r="O44" i="3"/>
  <c r="O43" i="3"/>
  <c r="P41" i="3"/>
  <c r="Q41" i="3"/>
  <c r="O45" i="3"/>
  <c r="N44" i="3"/>
  <c r="N43" i="3"/>
  <c r="N45" i="3"/>
  <c r="L45" i="3"/>
  <c r="L44" i="3"/>
  <c r="L43" i="3"/>
  <c r="M45" i="3"/>
  <c r="M43" i="3"/>
  <c r="B26" i="1"/>
  <c r="B15" i="1"/>
  <c r="Q45" i="3" l="1"/>
  <c r="Q44" i="3"/>
  <c r="Q43" i="3"/>
  <c r="P45" i="3"/>
  <c r="P44" i="3"/>
  <c r="P43" i="3"/>
  <c r="E9" i="5"/>
  <c r="B9" i="5"/>
  <c r="B13" i="1" l="1"/>
  <c r="B12" i="1"/>
  <c r="B10" i="1"/>
  <c r="E8" i="4" l="1"/>
  <c r="D7" i="4"/>
  <c r="C9" i="4"/>
  <c r="C11" i="4" s="1"/>
  <c r="C14" i="4" s="1"/>
  <c r="D9" i="4"/>
  <c r="E9" i="4"/>
  <c r="C15" i="4" l="1"/>
  <c r="C16" i="4" s="1"/>
  <c r="C17" i="4" s="1"/>
  <c r="D11" i="4"/>
  <c r="E11" i="4"/>
  <c r="B20" i="3"/>
  <c r="B19" i="3"/>
  <c r="B18" i="3"/>
  <c r="C16" i="3"/>
  <c r="D16" i="3" s="1"/>
  <c r="E16" i="3" s="1"/>
  <c r="F16" i="3" s="1"/>
  <c r="C4" i="3"/>
  <c r="D4" i="3" s="1"/>
  <c r="E4" i="3" s="1"/>
  <c r="F4" i="3" s="1"/>
  <c r="G4" i="3" s="1"/>
  <c r="H4" i="3" s="1"/>
  <c r="I4" i="3" s="1"/>
  <c r="J4" i="3" s="1"/>
  <c r="K4" i="3" s="1"/>
  <c r="B27" i="1"/>
  <c r="B8" i="1"/>
  <c r="G16" i="3" l="1"/>
  <c r="L28" i="3"/>
  <c r="D14" i="4"/>
  <c r="D15" i="4"/>
  <c r="D16" i="4" s="1"/>
  <c r="D17" i="4" s="1"/>
  <c r="E15" i="4"/>
  <c r="E16" i="4" s="1"/>
  <c r="E17" i="4" s="1"/>
  <c r="E14" i="4"/>
  <c r="C9" i="3"/>
  <c r="C10" i="3"/>
  <c r="F9" i="3"/>
  <c r="E9" i="3"/>
  <c r="D9" i="3"/>
  <c r="B2" i="3"/>
  <c r="D10" i="3"/>
  <c r="H16" i="3" l="1"/>
  <c r="M28" i="3"/>
  <c r="F10" i="3"/>
  <c r="G9" i="3" s="1"/>
  <c r="G10" i="3" s="1"/>
  <c r="H9" i="3" s="1"/>
  <c r="I16" i="3" l="1"/>
  <c r="N28" i="3"/>
  <c r="H10" i="3"/>
  <c r="I9" i="3" s="1"/>
  <c r="B22" i="1"/>
  <c r="B29" i="1" s="1"/>
  <c r="J16" i="3" l="1"/>
  <c r="O28" i="3"/>
  <c r="I10" i="3"/>
  <c r="J9" i="3" s="1"/>
  <c r="C6" i="3"/>
  <c r="D6" i="3" s="1"/>
  <c r="C5" i="3"/>
  <c r="K16" i="3" l="1"/>
  <c r="Q28" i="3" s="1"/>
  <c r="P28" i="3"/>
  <c r="J10" i="3"/>
  <c r="K9" i="3" s="1"/>
  <c r="K10" i="3" s="1"/>
  <c r="E6" i="3"/>
  <c r="D7" i="3"/>
  <c r="D11" i="3"/>
  <c r="B32" i="1"/>
  <c r="B37" i="1"/>
  <c r="B33" i="1"/>
  <c r="B34" i="1" l="1"/>
  <c r="B38" i="1" s="1"/>
  <c r="B39" i="1" s="1"/>
  <c r="D13" i="3"/>
  <c r="F6" i="3"/>
  <c r="E7" i="3"/>
  <c r="E11" i="3"/>
  <c r="E13" i="3" l="1"/>
  <c r="G6" i="3"/>
  <c r="F7" i="3"/>
  <c r="F11" i="3"/>
  <c r="F13" i="3" l="1"/>
  <c r="G7" i="3"/>
  <c r="G11" i="3"/>
  <c r="H6" i="3"/>
  <c r="I6" i="3" l="1"/>
  <c r="H7" i="3"/>
  <c r="H11" i="3"/>
  <c r="G13" i="3"/>
  <c r="H13" i="3" l="1"/>
  <c r="I7" i="3"/>
  <c r="I11" i="3"/>
  <c r="J6" i="3"/>
  <c r="K6" i="3" l="1"/>
  <c r="J11" i="3"/>
  <c r="J7" i="3"/>
  <c r="I13" i="3"/>
  <c r="J13" i="3" l="1"/>
  <c r="K7" i="3"/>
  <c r="K11" i="3"/>
  <c r="K1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Paula Worthington</author>
  </authors>
  <commentList>
    <comment ref="B21" authorId="0" shapeId="0" xr:uid="{2487A161-34EA-4E02-B269-FF5C36EC0835}">
      <text>
        <r>
          <rPr>
            <b/>
            <sz val="9"/>
            <color indexed="81"/>
            <rFont val="Tahoma"/>
            <charset val="1"/>
          </rPr>
          <t>Paula Worthington:</t>
        </r>
        <r>
          <rPr>
            <sz val="9"/>
            <color indexed="81"/>
            <rFont val="Tahoma"/>
            <charset val="1"/>
          </rPr>
          <t xml:space="preserve">
Changed to 6.0% to align with GOMB report showing impacts in SFY 2028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Paula Worthington</author>
  </authors>
  <commentList>
    <comment ref="B1" authorId="0" shapeId="0" xr:uid="{8CB28BDD-013A-43B3-B291-686FA74F964F}">
      <text>
        <r>
          <rPr>
            <b/>
            <sz val="9"/>
            <color indexed="81"/>
            <rFont val="Tahoma"/>
            <charset val="1"/>
          </rPr>
          <t>Paula Worthington:</t>
        </r>
        <r>
          <rPr>
            <sz val="9"/>
            <color indexed="81"/>
            <rFont val="Tahoma"/>
            <charset val="1"/>
          </rPr>
          <t xml:space="preserve">
Change this value as desired:  baseline(0); modest up (3%); modest down (-3%)</t>
        </r>
      </text>
    </comment>
    <comment ref="K35" authorId="0" shapeId="0" xr:uid="{CA6806C3-EC7F-468C-BF55-0298F7BA00D7}">
      <text>
        <r>
          <rPr>
            <b/>
            <sz val="9"/>
            <color indexed="81"/>
            <rFont val="Tahoma"/>
            <family val="2"/>
          </rPr>
          <t>Paula Worthington:</t>
        </r>
        <r>
          <rPr>
            <sz val="9"/>
            <color indexed="81"/>
            <rFont val="Tahoma"/>
            <family val="2"/>
          </rPr>
          <t xml:space="preserve">
Guessing based on orange bars, p. 9 of GOMB brief--UPDATED from table on p. 18
</t>
        </r>
      </text>
    </comment>
    <comment ref="K46" authorId="0" shapeId="0" xr:uid="{4770B51E-B95C-44E6-8BDF-3533F11198CD}">
      <text>
        <r>
          <rPr>
            <b/>
            <sz val="9"/>
            <color indexed="81"/>
            <rFont val="Tahoma"/>
            <family val="2"/>
          </rPr>
          <t>Paula Worthington:</t>
        </r>
        <r>
          <rPr>
            <sz val="9"/>
            <color indexed="81"/>
            <rFont val="Tahoma"/>
            <family val="2"/>
          </rPr>
          <t xml:space="preserve">
Based on total bar height, p. 9 of GOMB brief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Paula Worthington</author>
  </authors>
  <commentList>
    <comment ref="A20" authorId="0" shapeId="0" xr:uid="{9BD3A893-AFB0-41AD-A987-A7DDE56F769F}">
      <text>
        <r>
          <rPr>
            <b/>
            <sz val="9"/>
            <color indexed="81"/>
            <rFont val="Tahoma"/>
            <family val="2"/>
          </rPr>
          <t>Paula Worthington:</t>
        </r>
        <r>
          <rPr>
            <sz val="9"/>
            <color indexed="81"/>
            <rFont val="Tahoma"/>
            <family val="2"/>
          </rPr>
          <t xml:space="preserve">
Could this be folded into code 0133?</t>
        </r>
      </text>
    </comment>
    <comment ref="A21" authorId="0" shapeId="0" xr:uid="{5A3F3A87-2AE7-4B74-AE5D-1353AE14AAB6}">
      <text>
        <r>
          <rPr>
            <b/>
            <sz val="9"/>
            <color indexed="81"/>
            <rFont val="Tahoma"/>
            <family val="2"/>
          </rPr>
          <t>Paula Worthington:</t>
        </r>
        <r>
          <rPr>
            <sz val="9"/>
            <color indexed="81"/>
            <rFont val="Tahoma"/>
            <family val="2"/>
          </rPr>
          <t xml:space="preserve">
Where does this show up?   Is it part of code 0133?
Response:  this is the item called "Health Care Provider Supplemental Fee" or something like that</t>
        </r>
      </text>
    </comment>
  </commentList>
</comments>
</file>

<file path=xl/sharedStrings.xml><?xml version="1.0" encoding="utf-8"?>
<sst xmlns="http://schemas.openxmlformats.org/spreadsheetml/2006/main" count="165" uniqueCount="133">
  <si>
    <t>Back of Envelope</t>
  </si>
  <si>
    <t>What is OBBA impact on state's ability to levy and collect provider taxes?</t>
  </si>
  <si>
    <t>FY 2025 MCO assessments</t>
  </si>
  <si>
    <t>https://illinoiscomptroller.gov/financial-reports-data/revenues-state-income/revenue-source?RevSel=0133&amp;RevGrpSel=0&amp;RevClsSel=0&amp;RevTypeSel=0&amp;FY=25&amp;GroupBy=None&amp;GetQueryData=Search</t>
  </si>
  <si>
    <t>https://illinoiscomptroller.gov/financial-reports-data/revenues-state-income/revenue-source?RevSel=2683&amp;RevGrpSel=0&amp;RevClsSel=0&amp;RevTypeSel=0&amp;FY=25&amp;GroupBy=None&amp;GetQueryData=Search</t>
  </si>
  <si>
    <t>Total</t>
  </si>
  <si>
    <t>NB:    FF figure for total in FY 2025?</t>
  </si>
  <si>
    <t>https://github.com/AleaWM/Fiscal-Futures/blob/main/data/FY2025%20Files/summary_file_FY25_PensionChange_2025_07_016.xlsx</t>
  </si>
  <si>
    <t>Our assumed value for FY 2025</t>
  </si>
  <si>
    <t>my assumption:  low, but "surely" decreased Medicaid enrollments &amp; increased uninsured will push utilization, hence the "revenue base", down?</t>
  </si>
  <si>
    <t>What is the "tax base" here?</t>
  </si>
  <si>
    <t>We know $ per bed-day, $ per member--but we want a dollar number "kind of like" net patient revenues</t>
  </si>
  <si>
    <t>Tax Revenues</t>
  </si>
  <si>
    <t>Tax Base</t>
  </si>
  <si>
    <t>calculated as tax revenues/tax rate</t>
  </si>
  <si>
    <t>Growth &amp; Timing</t>
  </si>
  <si>
    <t>Date at which first 0.5 pp reduction must occur</t>
  </si>
  <si>
    <t xml:space="preserve"> </t>
  </si>
  <si>
    <t>State fiscal year in which 0.5 pp reduction must occur</t>
  </si>
  <si>
    <t>What share of that fiscal year will be affected by that reduction?</t>
  </si>
  <si>
    <t>Assumed annual growth rate in tax base</t>
  </si>
  <si>
    <t>What is tax base in that first year?</t>
  </si>
  <si>
    <t>First 3 months of the year (no reduction)</t>
  </si>
  <si>
    <t>Last 9 months of the year (with reduction of 0.5 pp in tax rate)</t>
  </si>
  <si>
    <t>Counterfactual status quo</t>
  </si>
  <si>
    <t>Under OBBB</t>
  </si>
  <si>
    <t>Difference</t>
  </si>
  <si>
    <t>All $ amounts are in millions of nominal dollars</t>
  </si>
  <si>
    <t>FY 2025 Hospital Assessments</t>
  </si>
  <si>
    <t>State Fiscal Year</t>
  </si>
  <si>
    <t>Tax rate, July 1-September 30</t>
  </si>
  <si>
    <t>Assumed annual growth in tax base</t>
  </si>
  <si>
    <t>Implied Tax Base</t>
  </si>
  <si>
    <t>Implied tax base in SFY 2025</t>
  </si>
  <si>
    <t>Provider Tax Revenues:  Actual</t>
  </si>
  <si>
    <t>Provider Tax Revenues:  Counterfactual, no OBBB</t>
  </si>
  <si>
    <t>Provider Tax Revenues with OBBB reductions</t>
  </si>
  <si>
    <t>Loss in Revenues relative to status quo</t>
  </si>
  <si>
    <t>Assumed current tax rate</t>
  </si>
  <si>
    <t>Tax rate, October 1 -June 30</t>
  </si>
  <si>
    <t>We know that Illinois has among the highest provider taxes &amp; assessments, but we don't know specifics</t>
  </si>
  <si>
    <t>Assumed tax rates for hospital and MCO assessments:</t>
  </si>
  <si>
    <t>why?  Because KFF survey says "between 3.5% and 5.5" for hospitals; no info on MCO assessments (Burns, Alice, Elizabeth Hinton, Elizabeth Williams, and Robin Rudowitz. “5 Key Facts About Medicaid and Provider Taxes.” KFF (blog), March 26, 2025. https://www.kff.org/medicaid/issue-brief/5-key-facts-about-medicaid-and-provider-taxes/.)</t>
  </si>
  <si>
    <t>Assumed annual growth rate of tax base (patient revenues)</t>
  </si>
  <si>
    <t>Baseline:  no growth in patient revenues</t>
  </si>
  <si>
    <t>Modest growth in patient revenues</t>
  </si>
  <si>
    <t>Modest contraction in patient revenues</t>
  </si>
  <si>
    <t>LTC Provider Assessments</t>
  </si>
  <si>
    <t>Name</t>
  </si>
  <si>
    <t>Code</t>
  </si>
  <si>
    <t>Hospital License Fees</t>
  </si>
  <si>
    <t>Health Care Pro Sup Fee (?)</t>
  </si>
  <si>
    <t>FY 2023</t>
  </si>
  <si>
    <t>FY 2024</t>
  </si>
  <si>
    <t>FY 2025</t>
  </si>
  <si>
    <t>Millions of $</t>
  </si>
  <si>
    <t>Health Care Provider Tax</t>
  </si>
  <si>
    <t>MCO Provider Assessment</t>
  </si>
  <si>
    <t>Exploring full list of tax/assessment revenues</t>
  </si>
  <si>
    <t>Comment</t>
  </si>
  <si>
    <t>Tax Handbook refers to these as nursing home assessments (2025, p. 50)</t>
  </si>
  <si>
    <t>Developmentally disabled assessment?</t>
  </si>
  <si>
    <t>Tax Handbook refers to these (2025, p. 50)</t>
  </si>
  <si>
    <t>Tax Handbook describes as levied on Cook County (2025, p. 50)</t>
  </si>
  <si>
    <t>County hospital services assessment?</t>
  </si>
  <si>
    <t>Snapshot of p. 14 from 2024 TBFR</t>
  </si>
  <si>
    <t>Tax Handbook, 2025, p. 51</t>
  </si>
  <si>
    <t>Same figures as from TBFR below</t>
  </si>
  <si>
    <t>Diff between Comptroller &amp; FF totals</t>
  </si>
  <si>
    <t>Sources</t>
  </si>
  <si>
    <t>Commission on Government Forecasting and Accountability. “Illinois Tax Handbook for Legislators, 41st Edition,” April 2025. https://cgfa.ilga.gov/commission/lru/TaxHandbook2025.pdf.</t>
  </si>
  <si>
    <t>Comptroller, State of Illinois. “Traditional Budgetary Financial Report FY 2024,” December 2024. https://illinoiscomptroller.gov/__media/sites/comptroller/FY%202024%20Traditional%20Budgetary_Final.pdf.</t>
  </si>
  <si>
    <t>Comptroller Data</t>
  </si>
  <si>
    <t>FF Data</t>
  </si>
  <si>
    <t>FF figure for total</t>
  </si>
  <si>
    <t>Revised Diff</t>
  </si>
  <si>
    <t>If I pull out LTC provider $ from Comptroller, I get very close to FF</t>
  </si>
  <si>
    <t>If I also pull out Hospital License Fees, I nail it</t>
  </si>
  <si>
    <t>Other Sources/Questions</t>
  </si>
  <si>
    <t>Fund #</t>
  </si>
  <si>
    <t>Fund Name</t>
  </si>
  <si>
    <t>Care Provider Fund for Persons with a DD</t>
  </si>
  <si>
    <t>County Provider Trust Fund</t>
  </si>
  <si>
    <t>Hospital Licensure Fund</t>
  </si>
  <si>
    <t>Hospital Provider Fund</t>
  </si>
  <si>
    <t>LTC Provider Fund</t>
  </si>
  <si>
    <t>Page of "Facts on Funds"</t>
  </si>
  <si>
    <t>FY2023 Rev ($ mil)</t>
  </si>
  <si>
    <t>Healthcare Provider Relief Fund</t>
  </si>
  <si>
    <t>Sidebar on Related Funds</t>
  </si>
  <si>
    <t>Commission on Government Forecasting &amp; Accountability. “Facts on Funds,” January 2024. https://cgfa.ilga.gov/Upload/JAN%202024%20Facts%20on%20Funds.pdf.</t>
  </si>
  <si>
    <t>FY 2025 Healthcare Provider Supplemental Assessment</t>
  </si>
  <si>
    <t>See "For_Alea" tab of this spreadsheet; I think this is the County Hospital Assessment</t>
  </si>
  <si>
    <t>Alternative assumption:  adding in the county hosp assessment</t>
  </si>
  <si>
    <t>MCO and Hospital Assessments only</t>
  </si>
  <si>
    <t>Nice Table:  Loss in Revenues relative to status quo:  Based on MCO and Hospital Assessments Only</t>
  </si>
  <si>
    <t>MCO assessments</t>
  </si>
  <si>
    <t>Target</t>
  </si>
  <si>
    <t>County Provider Trust</t>
  </si>
  <si>
    <t>FY 2025 Assessments ($ millions)</t>
  </si>
  <si>
    <t>Amount</t>
  </si>
  <si>
    <t>Healthcare Provider Relief</t>
  </si>
  <si>
    <t>Healthcare Provider Supplemental Assessment</t>
  </si>
  <si>
    <t>Healthcare Provider Tax</t>
  </si>
  <si>
    <t>Care Providers for Persons with DD</t>
  </si>
  <si>
    <t>Hospital Providers</t>
  </si>
  <si>
    <t>0344</t>
  </si>
  <si>
    <t>0346</t>
  </si>
  <si>
    <t>0329</t>
  </si>
  <si>
    <t>0793</t>
  </si>
  <si>
    <t>Source</t>
  </si>
  <si>
    <t>MCO Assessments</t>
  </si>
  <si>
    <t>3 years, from SFY 2025 to SFY 2028</t>
  </si>
  <si>
    <t>Tax Revenues in the First Affected State Fiscal Year (2028)</t>
  </si>
  <si>
    <t>Loss in Tax Revenues Relative to Status Quo in SFY 2028</t>
  </si>
  <si>
    <t>FF estimates</t>
  </si>
  <si>
    <t>GOMB estimates (ballparking!)</t>
  </si>
  <si>
    <t>Impact on State Revenues Only</t>
  </si>
  <si>
    <t>For Internal Use:  Comparing Our Numbers to GOMB Report ($ millions)</t>
  </si>
  <si>
    <t>GOMB implied federal $ only</t>
  </si>
  <si>
    <t>GOMB implied "FMAP"</t>
  </si>
  <si>
    <t>Assumed FMAP value for FF calculations</t>
  </si>
  <si>
    <t>Including Federal Matching Revenues</t>
  </si>
  <si>
    <t>Side bar:  GOMB says (p. 9) this for 2033</t>
  </si>
  <si>
    <t>Total impact ($ billion)</t>
  </si>
  <si>
    <t>Federal matching $ (billion)</t>
  </si>
  <si>
    <t>Implied FMAP</t>
  </si>
  <si>
    <t>NB:  for 2032 and 2033, I use the 2031 FMAP</t>
  </si>
  <si>
    <t>MCO</t>
  </si>
  <si>
    <t>Hospital Assessment</t>
  </si>
  <si>
    <t>NEW:  ASSUMING LARGE GROWTH (8%)</t>
  </si>
  <si>
    <t>Scenario</t>
  </si>
  <si>
    <t>est_growth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</si>
</sst>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"/>
    <numFmt numFmtId="165" formatCode="0.0%"/>
    <numFmt numFmtId="166" formatCode="[$-409]mmmm\ d\,\ yyyy;@"/>
    <numFmt numFmtId="167" formatCode="&quot;$&quot;#,##0.00"/>
    <numFmt numFmtId="168" formatCode="#,##0.0"/>
    <numFmt numFmtId="169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1">
    <xf numFmtId="0" fontId="0" fillId="0" borderId="0" xfId="0"/>
    <xf numFmtId="164" fontId="0" fillId="0" borderId="0" xfId="0" applyNumberFormat="1"/>
    <xf numFmtId="0" fontId="0" fillId="0" borderId="0" xfId="0" quotePrefix="1"/>
    <xf numFmtId="164" fontId="2" fillId="0" borderId="0" xfId="1" applyNumberFormat="1"/>
    <xf numFmtId="165" fontId="0" fillId="0" borderId="0" xfId="0" applyNumberFormat="1"/>
    <xf numFmtId="0" fontId="0" fillId="0" borderId="0" xfId="0" quotePrefix="1" applyAlignment="1">
      <alignment horizontal="left" indent="2"/>
    </xf>
    <xf numFmtId="0" fontId="0" fillId="2" borderId="0" xfId="0" applyFill="1"/>
    <xf numFmtId="0" fontId="1" fillId="2" borderId="0" xfId="0" quotePrefix="1" applyFont="1" applyFill="1"/>
    <xf numFmtId="0" fontId="1" fillId="2" borderId="0" xfId="0" applyFont="1" applyFill="1"/>
    <xf numFmtId="164" fontId="1" fillId="2" borderId="0" xfId="0" applyNumberFormat="1" applyFont="1" applyFill="1"/>
    <xf numFmtId="166" fontId="0" fillId="0" borderId="0" xfId="0" applyNumberFormat="1"/>
    <xf numFmtId="0" fontId="0" fillId="0" borderId="0" xfId="0" applyAlignment="1">
      <alignment horizontal="left" indent="2"/>
    </xf>
    <xf numFmtId="1" fontId="0" fillId="0" borderId="0" xfId="0" applyNumberFormat="1"/>
    <xf numFmtId="9" fontId="0" fillId="0" borderId="0" xfId="0" applyNumberFormat="1"/>
    <xf numFmtId="167" fontId="0" fillId="0" borderId="0" xfId="0" applyNumberFormat="1"/>
    <xf numFmtId="0" fontId="1" fillId="2" borderId="0" xfId="0" quotePrefix="1" applyFont="1" applyFill="1" applyAlignment="1">
      <alignment horizontal="left"/>
    </xf>
    <xf numFmtId="165" fontId="0" fillId="3" borderId="0" xfId="0" applyNumberFormat="1" applyFill="1"/>
    <xf numFmtId="0" fontId="1" fillId="0" borderId="0" xfId="0" quotePrefix="1" applyFont="1"/>
    <xf numFmtId="0" fontId="1" fillId="0" borderId="0" xfId="0" applyFont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0" fillId="0" borderId="0" xfId="0" quotePrefix="1" applyAlignment="1">
      <alignment horizontal="left"/>
    </xf>
    <xf numFmtId="0" fontId="1" fillId="4" borderId="1" xfId="0" quotePrefix="1" applyFont="1" applyFill="1" applyBorder="1"/>
    <xf numFmtId="0" fontId="1" fillId="4" borderId="1" xfId="0" applyFont="1" applyFill="1" applyBorder="1"/>
    <xf numFmtId="0" fontId="0" fillId="4" borderId="1" xfId="0" quotePrefix="1" applyFill="1" applyBorder="1"/>
    <xf numFmtId="0" fontId="0" fillId="4" borderId="1" xfId="0" applyFill="1" applyBorder="1"/>
    <xf numFmtId="165" fontId="0" fillId="4" borderId="1" xfId="0" applyNumberFormat="1" applyFill="1" applyBorder="1"/>
    <xf numFmtId="164" fontId="0" fillId="4" borderId="1" xfId="0" applyNumberFormat="1" applyFill="1" applyBorder="1"/>
    <xf numFmtId="0" fontId="0" fillId="4" borderId="1" xfId="0" quotePrefix="1" applyFill="1" applyBorder="1" applyAlignment="1">
      <alignment horizontal="left" indent="1"/>
    </xf>
    <xf numFmtId="0" fontId="1" fillId="0" borderId="0" xfId="0" quotePrefix="1" applyFont="1" applyAlignment="1">
      <alignment horizontal="right"/>
    </xf>
    <xf numFmtId="0" fontId="0" fillId="5" borderId="0" xfId="0" quotePrefix="1" applyFill="1" applyAlignment="1">
      <alignment horizontal="right"/>
    </xf>
    <xf numFmtId="164" fontId="0" fillId="5" borderId="0" xfId="0" applyNumberFormat="1" applyFill="1" applyAlignment="1">
      <alignment horizontal="right"/>
    </xf>
    <xf numFmtId="0" fontId="0" fillId="5" borderId="0" xfId="0" applyFill="1"/>
    <xf numFmtId="0" fontId="1" fillId="5" borderId="0" xfId="0" quotePrefix="1" applyFont="1" applyFill="1"/>
    <xf numFmtId="0" fontId="0" fillId="5" borderId="0" xfId="0" applyFill="1" applyAlignment="1">
      <alignment horizontal="right"/>
    </xf>
    <xf numFmtId="0" fontId="1" fillId="5" borderId="0" xfId="0" quotePrefix="1" applyFont="1" applyFill="1" applyAlignment="1">
      <alignment horizontal="left"/>
    </xf>
    <xf numFmtId="164" fontId="2" fillId="5" borderId="0" xfId="1" applyNumberFormat="1" applyFill="1"/>
    <xf numFmtId="0" fontId="0" fillId="0" borderId="1" xfId="0" applyBorder="1"/>
    <xf numFmtId="0" fontId="0" fillId="0" borderId="1" xfId="0" quotePrefix="1" applyBorder="1" applyAlignment="1">
      <alignment wrapText="1"/>
    </xf>
    <xf numFmtId="164" fontId="0" fillId="0" borderId="1" xfId="0" applyNumberFormat="1" applyBorder="1"/>
    <xf numFmtId="164" fontId="0" fillId="6" borderId="0" xfId="0" applyNumberFormat="1" applyFill="1"/>
    <xf numFmtId="164" fontId="0" fillId="0" borderId="0" xfId="0" quotePrefix="1" applyNumberFormat="1"/>
    <xf numFmtId="168" fontId="0" fillId="0" borderId="0" xfId="0" applyNumberFormat="1"/>
    <xf numFmtId="0" fontId="0" fillId="6" borderId="0" xfId="0" applyFill="1"/>
    <xf numFmtId="0" fontId="0" fillId="6" borderId="0" xfId="0" quotePrefix="1" applyFill="1"/>
    <xf numFmtId="0" fontId="0" fillId="6" borderId="0" xfId="0" applyFill="1" applyAlignment="1">
      <alignment horizontal="left"/>
    </xf>
    <xf numFmtId="0" fontId="0" fillId="2" borderId="0" xfId="0" quotePrefix="1" applyFill="1"/>
    <xf numFmtId="169" fontId="0" fillId="0" borderId="0" xfId="0" applyNumberFormat="1"/>
  </cellXfs>
  <cellStyles count="2">
    <cellStyle name="Normal" xfId="0" builtinId="0"/>
    <cellStyle name="Normal 2" xfId="1" xr:uid="{6391CC6B-B2C1-48B7-9AC4-AF97696DD1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State Revenue Losses from OBBB's Caps on Provider Tax Rates</a:t>
            </a:r>
          </a:p>
          <a:p>
            <a:pPr>
              <a:defRPr/>
            </a:pPr>
            <a:r>
              <a:rPr lang="en-US"/>
              <a:t>(Based on MCO &amp; Hospital Assessments Only)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Revenue_Forecasts!$A$18</c:f>
              <c:strCache>
                <c:ptCount val="1"/>
                <c:pt idx="0">
                  <c:v>Baseline:  no growth in patient revenues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DEC-4E3B-A317-0DB3CE8175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Revenue_Forecasts!$D$16:$K$16</c:f>
              <c:numCache>
                <c:formatCode>General</c:formatCode>
                <c:ptCount val="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</c:numCache>
            </c:numRef>
          </c:cat>
          <c:val>
            <c:numRef>
              <c:f>Revenue_Forecasts!$D$18:$K$18</c:f>
              <c:numCache>
                <c:formatCode>"$"#,##0.0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239.13124999999991</c:v>
                </c:pt>
                <c:pt idx="3">
                  <c:v>557.97291666666615</c:v>
                </c:pt>
                <c:pt idx="4">
                  <c:v>876.8145833333333</c:v>
                </c:pt>
                <c:pt idx="5">
                  <c:v>1195.6562499999991</c:v>
                </c:pt>
                <c:pt idx="6">
                  <c:v>1514.4979166666658</c:v>
                </c:pt>
                <c:pt idx="7">
                  <c:v>1594.2083333333326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EC-4E3B-A317-0DB3CE817596}"/>
            </c:ext>
          </c:extLst>
        </c:ser>
        <c:ser>
          <c:idx val="1"/>
          <c:order val="1"/>
          <c:tx>
            <c:strRef>
              <c:f>Revenue_Forecasts!$A$19</c:f>
              <c:strCache>
                <c:ptCount val="1"/>
                <c:pt idx="0">
                  <c:v>Modest growth in patient revenues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EC-4E3B-A317-0DB3CE8175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Revenue_Forecasts!$D$16:$K$16</c:f>
              <c:numCache>
                <c:formatCode>General</c:formatCode>
                <c:ptCount val="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</c:numCache>
            </c:numRef>
          </c:cat>
          <c:val>
            <c:numRef>
              <c:f>Revenue_Forecasts!$D$19:$K$19</c:f>
              <c:numCache>
                <c:formatCode>"$"#,##0.0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261.30517341874929</c:v>
                </c:pt>
                <c:pt idx="3">
                  <c:v>628.00343344972907</c:v>
                </c:pt>
                <c:pt idx="4">
                  <c:v>1016.4684144264907</c:v>
                </c:pt>
                <c:pt idx="5">
                  <c:v>1427.6760911717515</c:v>
                </c:pt>
                <c:pt idx="6">
                  <c:v>1862.6414069487455</c:v>
                </c:pt>
                <c:pt idx="7">
                  <c:v>2019.4954201654818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EC-4E3B-A317-0DB3CE817596}"/>
            </c:ext>
          </c:extLst>
        </c:ser>
        <c:ser>
          <c:idx val="2"/>
          <c:order val="2"/>
          <c:tx>
            <c:strRef>
              <c:f>Revenue_Forecasts!$A$20</c:f>
              <c:strCache>
                <c:ptCount val="1"/>
                <c:pt idx="0">
                  <c:v>Modest contraction in patient revenues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DEC-4E3B-A317-0DB3CE8175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Revenue_Forecasts!$D$16:$K$16</c:f>
              <c:numCache>
                <c:formatCode>General</c:formatCode>
                <c:ptCount val="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</c:numCache>
            </c:numRef>
          </c:cat>
          <c:val>
            <c:numRef>
              <c:f>Revenue_Forecasts!$D$20:$K$20</c:f>
              <c:numCache>
                <c:formatCode>"$"#,##0.0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218.24863533124972</c:v>
                </c:pt>
                <c:pt idx="3">
                  <c:v>493.96941129972902</c:v>
                </c:pt>
                <c:pt idx="4">
                  <c:v>752.95051693830101</c:v>
                </c:pt>
                <c:pt idx="5">
                  <c:v>995.94818376838884</c:v>
                </c:pt>
                <c:pt idx="6">
                  <c:v>1223.6883351234271</c:v>
                </c:pt>
                <c:pt idx="7">
                  <c:v>1249.4501948102361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EC-4E3B-A317-0DB3CE817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525807"/>
        <c:axId val="1385532527"/>
      </c:lineChart>
      <c:catAx>
        <c:axId val="138552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532527"/>
        <c:crosses val="autoZero"/>
        <c:auto val="1"/>
        <c:lblAlgn val="ctr"/>
        <c:lblOffset val="100"/>
        <c:noMultiLvlLbl val="0"/>
      </c:catAx>
      <c:valAx>
        <c:axId val="1385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52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1089660</xdr:colOff>
      <xdr:row>21</xdr:row>
      <xdr:rowOff>148590</xdr:rowOff>
    </xdr:from>
    <xdr:to>
      <xdr:col>9</xdr:col>
      <xdr:colOff>30480</xdr:colOff>
      <xdr:row>45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8ADB89-6396-145C-6FB5-D071B3858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0.08866</cdr:x>
      <cdr:y>0.17363</cdr:y>
    </cdr:from>
    <cdr:to>
      <cdr:x>0.9</cdr:x>
      <cdr:y>0.32458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8FEF66D-AD06-0184-6179-1D6F2BB84397}"/>
            </a:ext>
          </a:extLst>
        </cdr:cNvPr>
        <cdr:cNvSpPr txBox="1"/>
      </cdr:nvSpPr>
      <cdr:spPr>
        <a:xfrm xmlns:a="http://schemas.openxmlformats.org/drawingml/2006/main">
          <a:off x="655322" y="705191"/>
          <a:ext cx="5996938" cy="6130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Source:  Authors'</a:t>
          </a:r>
          <a:r>
            <a:rPr lang="en-US" sz="1100" kern="1200" baseline="0"/>
            <a:t> calculations based on data from the </a:t>
          </a:r>
          <a:r>
            <a:rPr lang="en-US" sz="1100" kern="1200"/>
            <a:t>University of Illinois Fiscal Futures Project:  </a:t>
          </a:r>
        </a:p>
        <a:p xmlns:a="http://schemas.openxmlformats.org/drawingml/2006/main">
          <a:r>
            <a:rPr lang="en-US" sz="1100" kern="1200"/>
            <a:t>https://igpa-uillinois.github.io/Fiscal-Futures/.</a:t>
          </a:r>
        </a:p>
        <a:p xmlns:a="http://schemas.openxmlformats.org/drawingml/2006/main">
          <a:endParaRPr lang="en-US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1824990</xdr:colOff>
      <xdr:row>26</xdr:row>
      <xdr:rowOff>173355</xdr:rowOff>
    </xdr:from>
    <xdr:to>
      <xdr:col>5</xdr:col>
      <xdr:colOff>2362200</xdr:colOff>
      <xdr:row>41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6D37FF-8A6A-8A53-773B-B9BDB855B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4990" y="5250180"/>
          <a:ext cx="8214360" cy="2617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34669-E4D7-4F5A-84A1-73E31D8446D7}">
  <dimension ref="A1:K4"/>
  <sheetViews>
    <sheetView tabSelected="1" workbookViewId="0">
      <selection activeCell="M2" sqref="M2"/>
    </sheetView>
  </sheetViews>
  <sheetFormatPr defaultRowHeight="14.4" x14ac:dyDescent="0.55000000000000004"/>
  <sheetData>
    <row r="1" spans="1:11" x14ac:dyDescent="0.55000000000000004">
      <c r="A1" s="27" t="s">
        <v>131</v>
      </c>
      <c r="B1" s="28" t="s">
        <v>132</v>
      </c>
      <c r="C1" s="28">
        <f>2025</f>
        <v>2025</v>
      </c>
      <c r="D1" s="28">
        <f>C1+1</f>
        <v>2026</v>
      </c>
      <c r="E1" s="28">
        <f t="shared" ref="E1:K1" si="0">D1+1</f>
        <v>2027</v>
      </c>
      <c r="F1" s="28">
        <f t="shared" si="0"/>
        <v>2028</v>
      </c>
      <c r="G1" s="28">
        <f t="shared" si="0"/>
        <v>2029</v>
      </c>
      <c r="H1" s="28">
        <f t="shared" si="0"/>
        <v>2030</v>
      </c>
      <c r="I1" s="28">
        <f t="shared" si="0"/>
        <v>2031</v>
      </c>
      <c r="J1" s="28">
        <f t="shared" si="0"/>
        <v>2032</v>
      </c>
      <c r="K1" s="28">
        <f t="shared" si="0"/>
        <v>2033</v>
      </c>
    </row>
    <row r="2" spans="1:11" x14ac:dyDescent="0.55000000000000004">
      <c r="A2" s="31" t="s">
        <v>44</v>
      </c>
      <c r="B2" s="29">
        <f>0</f>
        <v>0</v>
      </c>
      <c r="C2" s="30"/>
      <c r="D2" s="30">
        <v>0</v>
      </c>
      <c r="E2" s="30">
        <v>0</v>
      </c>
      <c r="F2" s="30">
        <v>239.13124999999991</v>
      </c>
      <c r="G2" s="30">
        <v>557.97291666666615</v>
      </c>
      <c r="H2" s="30">
        <v>876.8145833333333</v>
      </c>
      <c r="I2" s="30">
        <v>1195.6562499999991</v>
      </c>
      <c r="J2" s="30">
        <v>1514.4979166666658</v>
      </c>
      <c r="K2" s="30">
        <v>1594.2083333333326</v>
      </c>
    </row>
    <row r="3" spans="1:11" x14ac:dyDescent="0.55000000000000004">
      <c r="A3" s="31" t="s">
        <v>45</v>
      </c>
      <c r="B3" s="29">
        <f>0.03</f>
        <v>0.03</v>
      </c>
      <c r="C3" s="30"/>
      <c r="D3" s="30">
        <v>0</v>
      </c>
      <c r="E3" s="30">
        <v>0</v>
      </c>
      <c r="F3" s="30">
        <v>261.30517341874929</v>
      </c>
      <c r="G3" s="30">
        <v>628.00343344972907</v>
      </c>
      <c r="H3" s="30">
        <v>1016.4684144264907</v>
      </c>
      <c r="I3" s="30">
        <v>1427.6760911717515</v>
      </c>
      <c r="J3" s="30">
        <v>1862.6414069487455</v>
      </c>
      <c r="K3" s="30">
        <v>2019.4954201654818</v>
      </c>
    </row>
    <row r="4" spans="1:11" x14ac:dyDescent="0.55000000000000004">
      <c r="A4" s="31" t="s">
        <v>46</v>
      </c>
      <c r="B4" s="29">
        <f>-0.03</f>
        <v>-0.03</v>
      </c>
      <c r="C4" s="30"/>
      <c r="D4" s="30">
        <v>0</v>
      </c>
      <c r="E4" s="30">
        <v>0</v>
      </c>
      <c r="F4" s="30">
        <v>218.24863533124972</v>
      </c>
      <c r="G4" s="30">
        <v>493.96941129972902</v>
      </c>
      <c r="H4" s="30">
        <v>752.95051693830101</v>
      </c>
      <c r="I4" s="30">
        <v>995.94818376838884</v>
      </c>
      <c r="J4" s="30">
        <v>1223.6883351234271</v>
      </c>
      <c r="K4" s="30">
        <v>1249.4501948102361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2FBC-B9CC-4B5A-B87E-7277D49F7C0A}">
  <dimension ref="A1:M42"/>
  <sheetViews>
    <sheetView topLeftCell="A25" workbookViewId="0">
      <selection activeCell="A36" sqref="A36"/>
    </sheetView>
  </sheetViews>
  <sheetFormatPr defaultRowHeight="14.4" x14ac:dyDescent="0.55000000000000004"/>
  <cols>
    <col min="1" max="1" width="56.7890625" customWidth="1"/>
    <col min="2" max="2" width="17.3125" customWidth="1"/>
  </cols>
  <sheetData>
    <row r="1" spans="1:3" x14ac:dyDescent="0.55000000000000004">
      <c r="A1" t="s">
        <v>0</v>
      </c>
    </row>
    <row r="2" spans="1:3" x14ac:dyDescent="0.55000000000000004">
      <c r="A2" t="s">
        <v>1</v>
      </c>
    </row>
    <row r="3" spans="1:3" x14ac:dyDescent="0.55000000000000004">
      <c r="A3" s="2" t="s">
        <v>27</v>
      </c>
    </row>
    <row r="5" spans="1:3" x14ac:dyDescent="0.55000000000000004">
      <c r="A5" s="7" t="s">
        <v>12</v>
      </c>
      <c r="B5" s="8"/>
    </row>
    <row r="6" spans="1:3" x14ac:dyDescent="0.55000000000000004">
      <c r="A6" s="11" t="s">
        <v>2</v>
      </c>
      <c r="B6" s="1">
        <v>1821.5</v>
      </c>
      <c r="C6" t="s">
        <v>4</v>
      </c>
    </row>
    <row r="7" spans="1:3" x14ac:dyDescent="0.55000000000000004">
      <c r="A7" s="11" t="s">
        <v>28</v>
      </c>
      <c r="B7" s="1">
        <v>2004.6</v>
      </c>
      <c r="C7" t="s">
        <v>3</v>
      </c>
    </row>
    <row r="8" spans="1:3" x14ac:dyDescent="0.55000000000000004">
      <c r="A8" s="5" t="s">
        <v>5</v>
      </c>
      <c r="B8" s="1">
        <f>SUM(B6:B7)</f>
        <v>3826.1</v>
      </c>
    </row>
    <row r="9" spans="1:3" x14ac:dyDescent="0.55000000000000004">
      <c r="A9" s="5" t="s">
        <v>6</v>
      </c>
      <c r="B9" s="3">
        <v>4712.6278564699996</v>
      </c>
      <c r="C9" t="s">
        <v>7</v>
      </c>
    </row>
    <row r="10" spans="1:3" x14ac:dyDescent="0.55000000000000004">
      <c r="A10" s="5" t="s">
        <v>91</v>
      </c>
      <c r="B10" s="3">
        <f>For_Alea!$E$10</f>
        <v>886.54</v>
      </c>
      <c r="C10" t="s">
        <v>92</v>
      </c>
    </row>
    <row r="11" spans="1:3" x14ac:dyDescent="0.55000000000000004">
      <c r="A11" s="5"/>
      <c r="B11" s="3"/>
    </row>
    <row r="12" spans="1:3" x14ac:dyDescent="0.55000000000000004">
      <c r="A12" s="11" t="s">
        <v>94</v>
      </c>
      <c r="B12" s="1">
        <f>B8</f>
        <v>3826.1</v>
      </c>
    </row>
    <row r="13" spans="1:3" x14ac:dyDescent="0.55000000000000004">
      <c r="A13" s="5" t="s">
        <v>93</v>
      </c>
      <c r="B13" s="1">
        <f>B8+B10</f>
        <v>4712.6399999999994</v>
      </c>
      <c r="C13" t="s">
        <v>17</v>
      </c>
    </row>
    <row r="14" spans="1:3" x14ac:dyDescent="0.55000000000000004">
      <c r="A14" s="5"/>
      <c r="B14" s="1"/>
    </row>
    <row r="15" spans="1:3" x14ac:dyDescent="0.55000000000000004">
      <c r="A15" s="5" t="s">
        <v>8</v>
      </c>
      <c r="B15" s="43">
        <f>B12</f>
        <v>3826.1</v>
      </c>
      <c r="C15" t="s">
        <v>17</v>
      </c>
    </row>
    <row r="16" spans="1:3" x14ac:dyDescent="0.55000000000000004">
      <c r="A16" s="2"/>
      <c r="B16" s="1"/>
    </row>
    <row r="17" spans="1:13" x14ac:dyDescent="0.55000000000000004">
      <c r="A17" s="7" t="s">
        <v>13</v>
      </c>
      <c r="B17" s="9"/>
    </row>
    <row r="18" spans="1:13" x14ac:dyDescent="0.55000000000000004">
      <c r="A18" s="2" t="s">
        <v>10</v>
      </c>
      <c r="B18" s="1"/>
    </row>
    <row r="19" spans="1:13" x14ac:dyDescent="0.55000000000000004">
      <c r="A19" s="5" t="s">
        <v>11</v>
      </c>
      <c r="B19" s="1"/>
    </row>
    <row r="20" spans="1:13" x14ac:dyDescent="0.55000000000000004">
      <c r="A20" s="5" t="s">
        <v>40</v>
      </c>
      <c r="B20" s="1"/>
    </row>
    <row r="21" spans="1:13" x14ac:dyDescent="0.55000000000000004">
      <c r="A21" s="5" t="s">
        <v>41</v>
      </c>
      <c r="B21" s="16">
        <f>0.06</f>
        <v>0.06</v>
      </c>
      <c r="C21" t="s">
        <v>42</v>
      </c>
    </row>
    <row r="22" spans="1:13" x14ac:dyDescent="0.55000000000000004">
      <c r="A22" s="5" t="s">
        <v>33</v>
      </c>
      <c r="B22" s="1">
        <f>B15/B21</f>
        <v>63768.333333333336</v>
      </c>
      <c r="C22" t="s">
        <v>14</v>
      </c>
    </row>
    <row r="23" spans="1:13" x14ac:dyDescent="0.55000000000000004">
      <c r="A23" s="5"/>
      <c r="B23" s="1"/>
    </row>
    <row r="24" spans="1:13" x14ac:dyDescent="0.55000000000000004">
      <c r="A24" s="15" t="s">
        <v>15</v>
      </c>
      <c r="B24" s="9"/>
      <c r="M24" t="s">
        <v>17</v>
      </c>
    </row>
    <row r="25" spans="1:13" x14ac:dyDescent="0.55000000000000004">
      <c r="A25" s="5" t="s">
        <v>16</v>
      </c>
      <c r="B25" s="10">
        <v>46661</v>
      </c>
    </row>
    <row r="26" spans="1:13" x14ac:dyDescent="0.55000000000000004">
      <c r="A26" s="5" t="s">
        <v>18</v>
      </c>
      <c r="B26" s="12">
        <f>2028</f>
        <v>2028</v>
      </c>
      <c r="K26" t="s">
        <v>17</v>
      </c>
    </row>
    <row r="27" spans="1:13" x14ac:dyDescent="0.55000000000000004">
      <c r="A27" s="5" t="s">
        <v>19</v>
      </c>
      <c r="B27" s="13">
        <f>0.75</f>
        <v>0.75</v>
      </c>
    </row>
    <row r="28" spans="1:13" x14ac:dyDescent="0.55000000000000004">
      <c r="A28" s="11" t="s">
        <v>20</v>
      </c>
      <c r="B28" s="16">
        <f>0</f>
        <v>0</v>
      </c>
      <c r="C28" t="s">
        <v>9</v>
      </c>
    </row>
    <row r="29" spans="1:13" x14ac:dyDescent="0.55000000000000004">
      <c r="A29" s="5" t="s">
        <v>21</v>
      </c>
      <c r="B29" s="14">
        <f>(1+$B$28)^3*B22</f>
        <v>63768.333333333336</v>
      </c>
      <c r="C29" t="s">
        <v>112</v>
      </c>
    </row>
    <row r="31" spans="1:13" x14ac:dyDescent="0.55000000000000004">
      <c r="A31" s="15" t="s">
        <v>113</v>
      </c>
      <c r="B31" s="8"/>
    </row>
    <row r="32" spans="1:13" x14ac:dyDescent="0.55000000000000004">
      <c r="A32" s="2" t="s">
        <v>22</v>
      </c>
      <c r="B32" s="14">
        <f>B21*B29/4</f>
        <v>956.52499999999998</v>
      </c>
    </row>
    <row r="33" spans="1:2" x14ac:dyDescent="0.55000000000000004">
      <c r="A33" s="2" t="s">
        <v>23</v>
      </c>
      <c r="B33" s="14">
        <f>B29*(B21-0.005)*3/4</f>
        <v>2630.4437500000004</v>
      </c>
    </row>
    <row r="34" spans="1:2" x14ac:dyDescent="0.55000000000000004">
      <c r="A34" s="2" t="s">
        <v>5</v>
      </c>
      <c r="B34" s="14">
        <f>SUM(B32:B33)</f>
        <v>3586.9687500000005</v>
      </c>
    </row>
    <row r="36" spans="1:2" x14ac:dyDescent="0.55000000000000004">
      <c r="A36" s="7" t="s">
        <v>114</v>
      </c>
      <c r="B36" s="6"/>
    </row>
    <row r="37" spans="1:2" x14ac:dyDescent="0.55000000000000004">
      <c r="A37" s="2" t="s">
        <v>24</v>
      </c>
      <c r="B37" s="14">
        <f>B21*B29</f>
        <v>3826.1</v>
      </c>
    </row>
    <row r="38" spans="1:2" x14ac:dyDescent="0.55000000000000004">
      <c r="A38" s="2" t="s">
        <v>25</v>
      </c>
      <c r="B38" s="14">
        <f>B34</f>
        <v>3586.9687500000005</v>
      </c>
    </row>
    <row r="39" spans="1:2" x14ac:dyDescent="0.55000000000000004">
      <c r="A39" s="2" t="s">
        <v>26</v>
      </c>
      <c r="B39" s="14">
        <f>B37-B38</f>
        <v>239.13124999999945</v>
      </c>
    </row>
    <row r="41" spans="1:2" x14ac:dyDescent="0.55000000000000004">
      <c r="A41" s="2" t="s">
        <v>17</v>
      </c>
    </row>
    <row r="42" spans="1:2" x14ac:dyDescent="0.55000000000000004">
      <c r="A42" t="s">
        <v>17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15927-DA79-43F3-894D-33B8E43C24B4}">
  <sheetPr>
    <pageSetUpPr fitToPage="1"/>
  </sheetPr>
  <dimension ref="A1:Q53"/>
  <sheetViews>
    <sheetView topLeftCell="G10" zoomScale="117" workbookViewId="0">
      <selection activeCell="K16" sqref="K16:K20"/>
    </sheetView>
  </sheetViews>
  <sheetFormatPr defaultRowHeight="14.4" x14ac:dyDescent="0.55000000000000004"/>
  <cols>
    <col min="1" max="1" width="43.41796875" customWidth="1"/>
    <col min="3" max="5" width="9.1015625" bestFit="1" customWidth="1"/>
    <col min="6" max="10" width="10.89453125" customWidth="1"/>
    <col min="11" max="11" width="37" customWidth="1"/>
    <col min="12" max="17" width="10.89453125" customWidth="1"/>
  </cols>
  <sheetData>
    <row r="1" spans="1:11" x14ac:dyDescent="0.55000000000000004">
      <c r="A1" t="s">
        <v>31</v>
      </c>
      <c r="B1" s="16">
        <f>0.08</f>
        <v>0.08</v>
      </c>
    </row>
    <row r="2" spans="1:11" x14ac:dyDescent="0.55000000000000004">
      <c r="A2" s="2" t="s">
        <v>38</v>
      </c>
      <c r="B2" s="16">
        <f>Logic_Model!$B$21</f>
        <v>0.06</v>
      </c>
    </row>
    <row r="3" spans="1:11" x14ac:dyDescent="0.55000000000000004">
      <c r="C3" s="2" t="s">
        <v>17</v>
      </c>
      <c r="D3" s="2" t="s">
        <v>17</v>
      </c>
    </row>
    <row r="4" spans="1:11" x14ac:dyDescent="0.55000000000000004">
      <c r="A4" s="2" t="s">
        <v>29</v>
      </c>
      <c r="C4">
        <f>2025</f>
        <v>2025</v>
      </c>
      <c r="D4">
        <f>C4+1</f>
        <v>2026</v>
      </c>
      <c r="E4">
        <f t="shared" ref="E4:K4" si="0">D4+1</f>
        <v>2027</v>
      </c>
      <c r="F4">
        <f t="shared" si="0"/>
        <v>2028</v>
      </c>
      <c r="G4">
        <f t="shared" si="0"/>
        <v>2029</v>
      </c>
      <c r="H4">
        <f t="shared" si="0"/>
        <v>2030</v>
      </c>
      <c r="I4">
        <f t="shared" si="0"/>
        <v>2031</v>
      </c>
      <c r="J4">
        <f t="shared" si="0"/>
        <v>2032</v>
      </c>
      <c r="K4">
        <f t="shared" si="0"/>
        <v>2033</v>
      </c>
    </row>
    <row r="5" spans="1:11" x14ac:dyDescent="0.55000000000000004">
      <c r="A5" t="s">
        <v>34</v>
      </c>
      <c r="C5" s="1">
        <f>Logic_Model!$B$15</f>
        <v>3826.1</v>
      </c>
      <c r="D5" s="1"/>
      <c r="E5" s="1"/>
      <c r="F5" s="1"/>
      <c r="G5" s="1"/>
      <c r="H5" s="1"/>
      <c r="I5" s="1"/>
      <c r="J5" s="1"/>
      <c r="K5" s="1"/>
    </row>
    <row r="6" spans="1:11" x14ac:dyDescent="0.55000000000000004">
      <c r="A6" s="2" t="s">
        <v>32</v>
      </c>
      <c r="C6" s="1">
        <f>Logic_Model!$B$22</f>
        <v>63768.333333333336</v>
      </c>
      <c r="D6" s="1">
        <f>C6*(1+$B$1)</f>
        <v>68869.8</v>
      </c>
      <c r="E6" s="1">
        <f t="shared" ref="E6:K6" si="1">D6*(1+$B$1)</f>
        <v>74379.384000000005</v>
      </c>
      <c r="F6" s="1">
        <f t="shared" si="1"/>
        <v>80329.734720000008</v>
      </c>
      <c r="G6" s="1">
        <f t="shared" si="1"/>
        <v>86756.113497600018</v>
      </c>
      <c r="H6" s="1">
        <f t="shared" si="1"/>
        <v>93696.602577408019</v>
      </c>
      <c r="I6" s="1">
        <f t="shared" si="1"/>
        <v>101192.33078360067</v>
      </c>
      <c r="J6" s="1">
        <f t="shared" si="1"/>
        <v>109287.71724628874</v>
      </c>
      <c r="K6" s="1">
        <f t="shared" si="1"/>
        <v>118030.73462599184</v>
      </c>
    </row>
    <row r="7" spans="1:11" x14ac:dyDescent="0.55000000000000004">
      <c r="A7" s="2" t="s">
        <v>35</v>
      </c>
      <c r="C7" s="1"/>
      <c r="D7" s="1">
        <f>Logic_Model!$B$21*D6</f>
        <v>4132.1880000000001</v>
      </c>
      <c r="E7" s="1">
        <f>Logic_Model!$B$21*E6</f>
        <v>4462.7630399999998</v>
      </c>
      <c r="F7" s="1">
        <f>Logic_Model!$B$21*F6</f>
        <v>4819.7840832000002</v>
      </c>
      <c r="G7" s="1">
        <f>Logic_Model!$B$21*G6</f>
        <v>5205.3668098560011</v>
      </c>
      <c r="H7" s="1">
        <f>Logic_Model!$B$21*H6</f>
        <v>5621.7961546444812</v>
      </c>
      <c r="I7" s="1">
        <f>Logic_Model!$B$21*I6</f>
        <v>6071.5398470160399</v>
      </c>
      <c r="J7" s="1">
        <f>Logic_Model!$B$21*J6</f>
        <v>6557.2630347773238</v>
      </c>
      <c r="K7" s="1">
        <f>Logic_Model!$B$21*K6</f>
        <v>7081.84407755951</v>
      </c>
    </row>
    <row r="8" spans="1:11" x14ac:dyDescent="0.55000000000000004">
      <c r="A8" s="2"/>
    </row>
    <row r="9" spans="1:11" x14ac:dyDescent="0.55000000000000004">
      <c r="A9" s="2" t="s">
        <v>30</v>
      </c>
      <c r="C9" s="4">
        <f>Logic_Model!$B$21</f>
        <v>0.06</v>
      </c>
      <c r="D9" s="4">
        <f>Logic_Model!$B$21</f>
        <v>0.06</v>
      </c>
      <c r="E9" s="4">
        <f>Logic_Model!$B$21</f>
        <v>0.06</v>
      </c>
      <c r="F9" s="4">
        <f>E10</f>
        <v>0.06</v>
      </c>
      <c r="G9" s="4">
        <f t="shared" ref="G9:J9" si="2">F10</f>
        <v>5.5E-2</v>
      </c>
      <c r="H9" s="4">
        <f t="shared" si="2"/>
        <v>0.05</v>
      </c>
      <c r="I9" s="4">
        <f t="shared" si="2"/>
        <v>4.5000000000000005E-2</v>
      </c>
      <c r="J9" s="4">
        <f t="shared" si="2"/>
        <v>4.0000000000000008E-2</v>
      </c>
      <c r="K9" s="4">
        <f>J10</f>
        <v>3.500000000000001E-2</v>
      </c>
    </row>
    <row r="10" spans="1:11" x14ac:dyDescent="0.55000000000000004">
      <c r="A10" s="2" t="s">
        <v>39</v>
      </c>
      <c r="C10" s="4">
        <f>Logic_Model!$B$21</f>
        <v>0.06</v>
      </c>
      <c r="D10" s="4">
        <f>Logic_Model!$B$21</f>
        <v>0.06</v>
      </c>
      <c r="E10" s="4">
        <f>Logic_Model!$B$21</f>
        <v>0.06</v>
      </c>
      <c r="F10" s="4">
        <f t="shared" ref="F10:J10" si="3">F9-0.005</f>
        <v>5.5E-2</v>
      </c>
      <c r="G10" s="4">
        <f t="shared" si="3"/>
        <v>0.05</v>
      </c>
      <c r="H10" s="4">
        <f t="shared" si="3"/>
        <v>4.5000000000000005E-2</v>
      </c>
      <c r="I10" s="4">
        <f t="shared" si="3"/>
        <v>4.0000000000000008E-2</v>
      </c>
      <c r="J10" s="4">
        <f t="shared" si="3"/>
        <v>3.500000000000001E-2</v>
      </c>
      <c r="K10" s="4">
        <f>K9</f>
        <v>3.500000000000001E-2</v>
      </c>
    </row>
    <row r="11" spans="1:11" x14ac:dyDescent="0.55000000000000004">
      <c r="A11" t="s">
        <v>36</v>
      </c>
      <c r="C11" s="1"/>
      <c r="D11" s="1">
        <f t="shared" ref="D11:K11" si="4">D6*(D9/4 + D10*3/4)</f>
        <v>4132.1880000000001</v>
      </c>
      <c r="E11" s="1">
        <f t="shared" si="4"/>
        <v>4462.7630399999998</v>
      </c>
      <c r="F11" s="1">
        <f t="shared" si="4"/>
        <v>4518.5475780000006</v>
      </c>
      <c r="G11" s="1">
        <f t="shared" si="4"/>
        <v>4446.2508167520009</v>
      </c>
      <c r="H11" s="1">
        <f t="shared" si="4"/>
        <v>4333.4678692051211</v>
      </c>
      <c r="I11" s="1">
        <f t="shared" si="4"/>
        <v>4174.183644823529</v>
      </c>
      <c r="J11" s="1">
        <f t="shared" si="4"/>
        <v>3961.6797501779679</v>
      </c>
      <c r="K11" s="1">
        <f t="shared" si="4"/>
        <v>4131.0757119097152</v>
      </c>
    </row>
    <row r="12" spans="1:11" x14ac:dyDescent="0.55000000000000004"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55000000000000004">
      <c r="A13" s="2" t="s">
        <v>37</v>
      </c>
      <c r="C13" s="1"/>
      <c r="D13" s="1">
        <f t="shared" ref="D13:K13" si="5">D7-D11</f>
        <v>0</v>
      </c>
      <c r="E13" s="1">
        <f t="shared" si="5"/>
        <v>0</v>
      </c>
      <c r="F13" s="1">
        <f t="shared" si="5"/>
        <v>301.23650519999956</v>
      </c>
      <c r="G13" s="1">
        <f t="shared" si="5"/>
        <v>759.11599310400015</v>
      </c>
      <c r="H13" s="1">
        <f t="shared" si="5"/>
        <v>1288.3282854393601</v>
      </c>
      <c r="I13" s="1">
        <f t="shared" si="5"/>
        <v>1897.3562021925109</v>
      </c>
      <c r="J13" s="1">
        <f t="shared" si="5"/>
        <v>2595.5832845993559</v>
      </c>
      <c r="K13" s="1">
        <f t="shared" si="5"/>
        <v>2950.7683656497948</v>
      </c>
    </row>
    <row r="15" spans="1:11" s="18" customFormat="1" x14ac:dyDescent="0.55000000000000004">
      <c r="A15" s="25" t="s">
        <v>95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spans="1:11" x14ac:dyDescent="0.55000000000000004">
      <c r="A16" s="27" t="s">
        <v>29</v>
      </c>
      <c r="B16" s="28"/>
      <c r="C16" s="28">
        <f>2025</f>
        <v>2025</v>
      </c>
      <c r="D16" s="28">
        <f>C16+1</f>
        <v>2026</v>
      </c>
      <c r="E16" s="28">
        <f t="shared" ref="E16" si="6">D16+1</f>
        <v>2027</v>
      </c>
      <c r="F16" s="28">
        <f t="shared" ref="F16" si="7">E16+1</f>
        <v>2028</v>
      </c>
      <c r="G16" s="28">
        <f t="shared" ref="G16" si="8">F16+1</f>
        <v>2029</v>
      </c>
      <c r="H16" s="28">
        <f t="shared" ref="H16" si="9">G16+1</f>
        <v>2030</v>
      </c>
      <c r="I16" s="28">
        <f t="shared" ref="I16" si="10">H16+1</f>
        <v>2031</v>
      </c>
      <c r="J16" s="28">
        <f t="shared" ref="J16" si="11">I16+1</f>
        <v>2032</v>
      </c>
      <c r="K16" s="28">
        <f t="shared" ref="K16" si="12">J16+1</f>
        <v>2033</v>
      </c>
    </row>
    <row r="17" spans="1:17" x14ac:dyDescent="0.55000000000000004">
      <c r="A17" s="27" t="s">
        <v>43</v>
      </c>
      <c r="B17" s="29"/>
      <c r="C17" s="30"/>
      <c r="D17" s="30"/>
      <c r="E17" s="30"/>
      <c r="F17" s="30"/>
      <c r="G17" s="30"/>
      <c r="H17" s="30"/>
      <c r="I17" s="30"/>
      <c r="J17" s="30"/>
      <c r="K17" s="30"/>
    </row>
    <row r="18" spans="1:17" x14ac:dyDescent="0.55000000000000004">
      <c r="A18" s="31" t="s">
        <v>44</v>
      </c>
      <c r="B18" s="29">
        <f>0</f>
        <v>0</v>
      </c>
      <c r="C18" s="30"/>
      <c r="D18" s="30">
        <v>0</v>
      </c>
      <c r="E18" s="30">
        <v>0</v>
      </c>
      <c r="F18" s="30">
        <v>239.13124999999991</v>
      </c>
      <c r="G18" s="30">
        <v>557.97291666666615</v>
      </c>
      <c r="H18" s="30">
        <v>876.8145833333333</v>
      </c>
      <c r="I18" s="30">
        <v>1195.6562499999991</v>
      </c>
      <c r="J18" s="30">
        <v>1514.4979166666658</v>
      </c>
      <c r="K18" s="30">
        <v>1594.2083333333326</v>
      </c>
    </row>
    <row r="19" spans="1:17" x14ac:dyDescent="0.55000000000000004">
      <c r="A19" s="31" t="s">
        <v>45</v>
      </c>
      <c r="B19" s="29">
        <f>0.03</f>
        <v>0.03</v>
      </c>
      <c r="C19" s="30"/>
      <c r="D19" s="30">
        <v>0</v>
      </c>
      <c r="E19" s="30">
        <v>0</v>
      </c>
      <c r="F19" s="30">
        <v>261.30517341874929</v>
      </c>
      <c r="G19" s="30">
        <v>628.00343344972907</v>
      </c>
      <c r="H19" s="30">
        <v>1016.4684144264907</v>
      </c>
      <c r="I19" s="30">
        <v>1427.6760911717515</v>
      </c>
      <c r="J19" s="30">
        <v>1862.6414069487455</v>
      </c>
      <c r="K19" s="30">
        <v>2019.4954201654818</v>
      </c>
    </row>
    <row r="20" spans="1:17" x14ac:dyDescent="0.55000000000000004">
      <c r="A20" s="31" t="s">
        <v>46</v>
      </c>
      <c r="B20" s="29">
        <f>-0.03</f>
        <v>-0.03</v>
      </c>
      <c r="C20" s="30"/>
      <c r="D20" s="30">
        <v>0</v>
      </c>
      <c r="E20" s="30">
        <v>0</v>
      </c>
      <c r="F20" s="30">
        <v>218.24863533124972</v>
      </c>
      <c r="G20" s="30">
        <v>493.96941129972902</v>
      </c>
      <c r="H20" s="30">
        <v>752.95051693830101</v>
      </c>
      <c r="I20" s="30">
        <v>995.94818376838884</v>
      </c>
      <c r="J20" s="30">
        <v>1223.6883351234271</v>
      </c>
      <c r="K20" s="30">
        <v>1249.4501948102361</v>
      </c>
    </row>
    <row r="26" spans="1:17" x14ac:dyDescent="0.55000000000000004">
      <c r="K26" t="s">
        <v>118</v>
      </c>
    </row>
    <row r="28" spans="1:17" x14ac:dyDescent="0.55000000000000004">
      <c r="K28" s="2" t="s">
        <v>29</v>
      </c>
      <c r="L28">
        <f t="shared" ref="L28:Q28" si="13">F16</f>
        <v>2028</v>
      </c>
      <c r="M28">
        <f t="shared" si="13"/>
        <v>2029</v>
      </c>
      <c r="N28">
        <f t="shared" si="13"/>
        <v>2030</v>
      </c>
      <c r="O28">
        <f t="shared" si="13"/>
        <v>2031</v>
      </c>
      <c r="P28">
        <f t="shared" si="13"/>
        <v>2032</v>
      </c>
      <c r="Q28">
        <f t="shared" si="13"/>
        <v>2033</v>
      </c>
    </row>
    <row r="29" spans="1:17" x14ac:dyDescent="0.55000000000000004">
      <c r="K29" s="6" t="s">
        <v>117</v>
      </c>
      <c r="L29" s="6"/>
      <c r="M29" s="6"/>
      <c r="N29" s="6"/>
      <c r="O29" s="6"/>
      <c r="P29" s="6"/>
      <c r="Q29" s="6"/>
    </row>
    <row r="30" spans="1:17" x14ac:dyDescent="0.55000000000000004">
      <c r="K30" s="46" t="s">
        <v>115</v>
      </c>
    </row>
    <row r="31" spans="1:17" x14ac:dyDescent="0.55000000000000004">
      <c r="K31" s="11" t="str">
        <f>A18</f>
        <v>Baseline:  no growth in patient revenues</v>
      </c>
      <c r="L31" s="45">
        <v>239.13124999999991</v>
      </c>
      <c r="M31" s="45">
        <v>557.97291666666615</v>
      </c>
      <c r="N31" s="45">
        <v>876.8145833333333</v>
      </c>
      <c r="O31" s="45">
        <v>1195.6562499999991</v>
      </c>
      <c r="P31" s="45">
        <v>1514.4979166666658</v>
      </c>
      <c r="Q31" s="45">
        <v>1594.2083333333326</v>
      </c>
    </row>
    <row r="32" spans="1:17" x14ac:dyDescent="0.55000000000000004">
      <c r="K32" s="11" t="str">
        <f>A19</f>
        <v>Modest growth in patient revenues</v>
      </c>
      <c r="L32" s="45">
        <v>261.30517341874929</v>
      </c>
      <c r="M32" s="45">
        <v>628.00343344972907</v>
      </c>
      <c r="N32" s="45">
        <v>1016.4684144264907</v>
      </c>
      <c r="O32" s="45">
        <v>1427.6760911717515</v>
      </c>
      <c r="P32" s="45">
        <v>1862.6414069487455</v>
      </c>
      <c r="Q32" s="45">
        <v>2019.4954201654818</v>
      </c>
    </row>
    <row r="33" spans="11:17" x14ac:dyDescent="0.55000000000000004">
      <c r="K33" s="11" t="str">
        <f>A20</f>
        <v>Modest contraction in patient revenues</v>
      </c>
      <c r="L33" s="45">
        <v>218.24863533124972</v>
      </c>
      <c r="M33" s="45">
        <v>493.96941129972902</v>
      </c>
      <c r="N33" s="45">
        <v>752.95051693830101</v>
      </c>
      <c r="O33" s="45">
        <v>995.94818376838884</v>
      </c>
      <c r="P33" s="45">
        <v>1223.6883351234271</v>
      </c>
      <c r="Q33" s="45">
        <v>1249.4501948102361</v>
      </c>
    </row>
    <row r="34" spans="11:17" x14ac:dyDescent="0.55000000000000004">
      <c r="K34" s="11" t="s">
        <v>130</v>
      </c>
      <c r="L34" s="45">
        <v>301.23650519999956</v>
      </c>
      <c r="M34" s="45">
        <v>759.11599310400015</v>
      </c>
      <c r="N34" s="45">
        <v>1288.3282854393601</v>
      </c>
      <c r="O34" s="45">
        <v>1897.3562021925109</v>
      </c>
      <c r="P34" s="45">
        <v>2595.5832845993559</v>
      </c>
      <c r="Q34" s="45">
        <v>2950.7683656497948</v>
      </c>
    </row>
    <row r="35" spans="11:17" x14ac:dyDescent="0.55000000000000004">
      <c r="K35" s="47" t="s">
        <v>116</v>
      </c>
      <c r="L35" s="45">
        <f>L36+L37</f>
        <v>304</v>
      </c>
      <c r="M35" s="45">
        <f t="shared" ref="M35:O35" si="14">M36+M37</f>
        <v>756</v>
      </c>
      <c r="N35" s="45">
        <f t="shared" si="14"/>
        <v>1226</v>
      </c>
      <c r="O35" s="45">
        <f t="shared" si="14"/>
        <v>1694</v>
      </c>
    </row>
    <row r="36" spans="11:17" x14ac:dyDescent="0.55000000000000004">
      <c r="K36" s="5" t="s">
        <v>128</v>
      </c>
      <c r="L36" s="45">
        <v>150</v>
      </c>
      <c r="M36" s="45">
        <v>349</v>
      </c>
      <c r="N36" s="45">
        <v>549</v>
      </c>
      <c r="O36" s="45">
        <v>748</v>
      </c>
    </row>
    <row r="37" spans="11:17" x14ac:dyDescent="0.55000000000000004">
      <c r="K37" s="5" t="s">
        <v>129</v>
      </c>
      <c r="L37" s="45">
        <v>154</v>
      </c>
      <c r="M37" s="45">
        <v>407</v>
      </c>
      <c r="N37" s="45">
        <v>677</v>
      </c>
      <c r="O37" s="45">
        <v>946</v>
      </c>
    </row>
    <row r="40" spans="11:17" x14ac:dyDescent="0.55000000000000004">
      <c r="K40" s="49" t="s">
        <v>122</v>
      </c>
      <c r="L40" s="6"/>
      <c r="M40" s="6"/>
      <c r="N40" s="6"/>
      <c r="O40" s="6"/>
      <c r="P40" s="6"/>
      <c r="Q40" s="6"/>
    </row>
    <row r="41" spans="11:17" x14ac:dyDescent="0.55000000000000004">
      <c r="K41" s="2" t="s">
        <v>121</v>
      </c>
      <c r="L41" s="50">
        <f>L48</f>
        <v>0.62</v>
      </c>
      <c r="M41" s="50">
        <f t="shared" ref="M41:O41" si="15">M48</f>
        <v>0.622</v>
      </c>
      <c r="N41" s="50">
        <f t="shared" si="15"/>
        <v>0.62276923076923074</v>
      </c>
      <c r="O41" s="50">
        <f t="shared" si="15"/>
        <v>0.62355555555555553</v>
      </c>
      <c r="P41" s="50">
        <f>$O$41</f>
        <v>0.62355555555555553</v>
      </c>
      <c r="Q41" s="50">
        <f>$O$41</f>
        <v>0.62355555555555553</v>
      </c>
    </row>
    <row r="42" spans="11:17" x14ac:dyDescent="0.55000000000000004">
      <c r="K42" s="46" t="str">
        <f>K30</f>
        <v>FF estimates</v>
      </c>
    </row>
    <row r="43" spans="11:17" x14ac:dyDescent="0.55000000000000004">
      <c r="K43" s="11" t="str">
        <f>K31</f>
        <v>Baseline:  no growth in patient revenues</v>
      </c>
      <c r="L43" s="45">
        <f t="shared" ref="L43:Q45" si="16">L31/(1-L$41)</f>
        <v>629.29276315789446</v>
      </c>
      <c r="M43" s="45">
        <f t="shared" si="16"/>
        <v>1476.1188271604924</v>
      </c>
      <c r="N43" s="45">
        <f t="shared" si="16"/>
        <v>2324.345347335508</v>
      </c>
      <c r="O43" s="45">
        <f t="shared" si="16"/>
        <v>3176.1824822904341</v>
      </c>
      <c r="P43" s="45">
        <f t="shared" si="16"/>
        <v>4023.1644775678842</v>
      </c>
      <c r="Q43" s="45">
        <f t="shared" si="16"/>
        <v>4234.9099763872464</v>
      </c>
    </row>
    <row r="44" spans="11:17" x14ac:dyDescent="0.55000000000000004">
      <c r="K44" s="11" t="str">
        <f>K32</f>
        <v>Modest growth in patient revenues</v>
      </c>
      <c r="L44" s="45">
        <f t="shared" si="16"/>
        <v>687.64519320723502</v>
      </c>
      <c r="M44" s="45">
        <f t="shared" si="16"/>
        <v>1661.3847445760027</v>
      </c>
      <c r="N44" s="45">
        <f t="shared" si="16"/>
        <v>2694.5533008858847</v>
      </c>
      <c r="O44" s="45">
        <f t="shared" si="16"/>
        <v>3792.527987174074</v>
      </c>
      <c r="P44" s="45">
        <f t="shared" si="16"/>
        <v>4947.9848472664426</v>
      </c>
      <c r="Q44" s="45">
        <f t="shared" si="16"/>
        <v>5364.6572554573013</v>
      </c>
    </row>
    <row r="45" spans="11:17" x14ac:dyDescent="0.55000000000000004">
      <c r="K45" s="11" t="str">
        <f>K33</f>
        <v>Modest contraction in patient revenues</v>
      </c>
      <c r="L45" s="45">
        <f t="shared" si="16"/>
        <v>574.33851402960454</v>
      </c>
      <c r="M45" s="45">
        <f t="shared" si="16"/>
        <v>1306.7973843908176</v>
      </c>
      <c r="N45" s="45">
        <f t="shared" si="16"/>
        <v>1995.9944372344846</v>
      </c>
      <c r="O45" s="45">
        <f t="shared" si="16"/>
        <v>2645.6710902938307</v>
      </c>
      <c r="P45" s="45">
        <f t="shared" si="16"/>
        <v>3250.6478796076867</v>
      </c>
      <c r="Q45" s="45">
        <f t="shared" si="16"/>
        <v>3319.0825718099541</v>
      </c>
    </row>
    <row r="46" spans="11:17" x14ac:dyDescent="0.55000000000000004">
      <c r="K46" s="48" t="str">
        <f>K35</f>
        <v>GOMB estimates (ballparking!)</v>
      </c>
      <c r="L46" s="45">
        <f>800</f>
        <v>800</v>
      </c>
      <c r="M46" s="45">
        <f>2000</f>
        <v>2000</v>
      </c>
      <c r="N46" s="45">
        <f>3250</f>
        <v>3250</v>
      </c>
      <c r="O46" s="45">
        <f>4500</f>
        <v>4500</v>
      </c>
    </row>
    <row r="47" spans="11:17" x14ac:dyDescent="0.55000000000000004">
      <c r="K47" s="2" t="s">
        <v>119</v>
      </c>
      <c r="L47" s="45">
        <f>L46-L35</f>
        <v>496</v>
      </c>
      <c r="M47" s="45">
        <f>M46-M35</f>
        <v>1244</v>
      </c>
      <c r="N47" s="45">
        <f>N46-N35</f>
        <v>2024</v>
      </c>
      <c r="O47" s="45">
        <f>O46-O35</f>
        <v>2806</v>
      </c>
    </row>
    <row r="48" spans="11:17" x14ac:dyDescent="0.55000000000000004">
      <c r="K48" s="2" t="s">
        <v>120</v>
      </c>
      <c r="L48" s="50">
        <f>L47/L46</f>
        <v>0.62</v>
      </c>
      <c r="M48" s="50">
        <f t="shared" ref="M48:O48" si="17">M47/M46</f>
        <v>0.622</v>
      </c>
      <c r="N48" s="50">
        <f t="shared" si="17"/>
        <v>0.62276923076923074</v>
      </c>
      <c r="O48" s="50">
        <f t="shared" si="17"/>
        <v>0.62355555555555553</v>
      </c>
    </row>
    <row r="49" spans="11:17" x14ac:dyDescent="0.55000000000000004">
      <c r="Q49" t="s">
        <v>17</v>
      </c>
    </row>
    <row r="50" spans="11:17" x14ac:dyDescent="0.55000000000000004">
      <c r="K50" s="2" t="s">
        <v>123</v>
      </c>
      <c r="P50" t="s">
        <v>127</v>
      </c>
    </row>
    <row r="51" spans="11:17" x14ac:dyDescent="0.55000000000000004">
      <c r="K51" s="5" t="s">
        <v>124</v>
      </c>
      <c r="L51">
        <v>6.1</v>
      </c>
    </row>
    <row r="52" spans="11:17" x14ac:dyDescent="0.55000000000000004">
      <c r="K52" s="11" t="s">
        <v>125</v>
      </c>
      <c r="L52">
        <v>3.8</v>
      </c>
    </row>
    <row r="53" spans="11:17" x14ac:dyDescent="0.55000000000000004">
      <c r="K53" s="11" t="s">
        <v>126</v>
      </c>
      <c r="L53" s="50">
        <f>L52/L51</f>
        <v>0.62295081967213117</v>
      </c>
    </row>
  </sheetData>
  <pageMargins left="0.7" right="0.7" top="0.75" bottom="0.75" header="0.3" footer="0.3"/>
  <pageSetup scale="46" fitToHeight="0" orientation="landscape" cellComments="asDisplayed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1767B-2BB6-41AE-878A-0DB456AEBA59}">
  <dimension ref="A1:K43"/>
  <sheetViews>
    <sheetView topLeftCell="A4" workbookViewId="0">
      <selection activeCell="E10" sqref="E10"/>
    </sheetView>
  </sheetViews>
  <sheetFormatPr defaultRowHeight="14.4" x14ac:dyDescent="0.55000000000000004"/>
  <cols>
    <col min="1" max="1" width="57.7890625" customWidth="1"/>
    <col min="2" max="4" width="13" style="20" customWidth="1"/>
    <col min="5" max="5" width="15" style="21" customWidth="1"/>
    <col min="6" max="6" width="66.3125" customWidth="1"/>
    <col min="7" max="7" width="3.3125" customWidth="1"/>
    <col min="10" max="10" width="16.5234375" customWidth="1"/>
    <col min="11" max="11" width="35.68359375" customWidth="1"/>
  </cols>
  <sheetData>
    <row r="1" spans="1:11" x14ac:dyDescent="0.55000000000000004">
      <c r="A1" s="2" t="s">
        <v>58</v>
      </c>
      <c r="B1" s="19"/>
      <c r="C1" s="19"/>
      <c r="D1" s="19"/>
    </row>
    <row r="2" spans="1:11" x14ac:dyDescent="0.55000000000000004">
      <c r="A2" s="2" t="s">
        <v>55</v>
      </c>
      <c r="B2" s="19"/>
      <c r="C2" s="19"/>
      <c r="D2" s="19"/>
    </row>
    <row r="3" spans="1:11" x14ac:dyDescent="0.55000000000000004">
      <c r="A3" s="2"/>
      <c r="B3" s="19"/>
      <c r="C3" s="19"/>
      <c r="D3" s="19"/>
    </row>
    <row r="4" spans="1:11" x14ac:dyDescent="0.55000000000000004">
      <c r="A4" s="17" t="s">
        <v>48</v>
      </c>
      <c r="B4" s="22" t="s">
        <v>49</v>
      </c>
      <c r="C4" s="22" t="s">
        <v>52</v>
      </c>
      <c r="D4" s="22" t="s">
        <v>53</v>
      </c>
      <c r="E4" s="23" t="s">
        <v>54</v>
      </c>
      <c r="F4" s="32" t="s">
        <v>59</v>
      </c>
      <c r="H4" s="17" t="s">
        <v>89</v>
      </c>
    </row>
    <row r="5" spans="1:11" ht="43.2" x14ac:dyDescent="0.55000000000000004">
      <c r="A5" s="36" t="s">
        <v>72</v>
      </c>
      <c r="B5" s="33"/>
      <c r="C5" s="33"/>
      <c r="D5" s="33"/>
      <c r="E5" s="34"/>
      <c r="F5" s="35"/>
      <c r="H5" s="40" t="s">
        <v>79</v>
      </c>
      <c r="I5" s="41" t="s">
        <v>86</v>
      </c>
      <c r="J5" s="41" t="s">
        <v>87</v>
      </c>
      <c r="K5" s="40" t="s">
        <v>80</v>
      </c>
    </row>
    <row r="6" spans="1:11" x14ac:dyDescent="0.55000000000000004">
      <c r="A6" t="s">
        <v>57</v>
      </c>
      <c r="B6" s="20">
        <v>2683</v>
      </c>
      <c r="C6" s="21">
        <v>1446.97605</v>
      </c>
      <c r="D6" s="21">
        <v>1588.290933</v>
      </c>
      <c r="E6" s="21">
        <v>1821.5</v>
      </c>
      <c r="H6" s="40">
        <v>344</v>
      </c>
      <c r="I6" s="40">
        <v>316</v>
      </c>
      <c r="J6" s="42">
        <v>53.647150000000003</v>
      </c>
      <c r="K6" s="40" t="s">
        <v>81</v>
      </c>
    </row>
    <row r="7" spans="1:11" x14ac:dyDescent="0.55000000000000004">
      <c r="A7" t="s">
        <v>56</v>
      </c>
      <c r="B7" s="20">
        <v>133</v>
      </c>
      <c r="C7" s="21">
        <v>1872.20327</v>
      </c>
      <c r="D7" s="21">
        <f>1931.945387</f>
        <v>1931.945387</v>
      </c>
      <c r="E7" s="21">
        <v>2004.5732680000001</v>
      </c>
      <c r="H7" s="40">
        <v>329</v>
      </c>
      <c r="I7" s="40">
        <v>300</v>
      </c>
      <c r="J7" s="42">
        <v>2946.643</v>
      </c>
      <c r="K7" s="40" t="s">
        <v>82</v>
      </c>
    </row>
    <row r="8" spans="1:11" x14ac:dyDescent="0.55000000000000004">
      <c r="A8" t="s">
        <v>47</v>
      </c>
      <c r="B8" s="20">
        <v>2374</v>
      </c>
      <c r="C8" s="21">
        <v>272.13896199999999</v>
      </c>
      <c r="D8" s="21">
        <v>298.96449899999999</v>
      </c>
      <c r="E8" s="21">
        <f>331.44791</f>
        <v>331.44790999999998</v>
      </c>
      <c r="F8" s="21" t="s">
        <v>60</v>
      </c>
      <c r="H8" s="40">
        <v>793</v>
      </c>
      <c r="I8" s="40">
        <v>646</v>
      </c>
      <c r="J8" s="42">
        <v>13518.791044</v>
      </c>
      <c r="K8" s="40" t="s">
        <v>88</v>
      </c>
    </row>
    <row r="9" spans="1:11" x14ac:dyDescent="0.55000000000000004">
      <c r="A9" t="s">
        <v>50</v>
      </c>
      <c r="B9" s="20">
        <v>2495</v>
      </c>
      <c r="C9" s="21">
        <f>1.55397</f>
        <v>1.5539700000000001</v>
      </c>
      <c r="D9" s="21">
        <f>1.57399</f>
        <v>1.57399</v>
      </c>
      <c r="E9" s="21">
        <f>1.534335</f>
        <v>1.534335</v>
      </c>
      <c r="H9" s="40">
        <v>68</v>
      </c>
      <c r="I9" s="40">
        <v>88</v>
      </c>
      <c r="J9" s="42">
        <v>1.789533</v>
      </c>
      <c r="K9" s="40" t="s">
        <v>83</v>
      </c>
    </row>
    <row r="10" spans="1:11" x14ac:dyDescent="0.55000000000000004">
      <c r="A10" t="s">
        <v>51</v>
      </c>
      <c r="B10" s="20">
        <v>129</v>
      </c>
      <c r="C10" s="21">
        <v>769.20060100000001</v>
      </c>
      <c r="D10" s="21">
        <v>821.35751500000003</v>
      </c>
      <c r="E10" s="21">
        <v>886.54</v>
      </c>
      <c r="H10" s="40">
        <v>346</v>
      </c>
      <c r="I10" s="40">
        <v>318</v>
      </c>
      <c r="J10" s="42">
        <v>4749.363652</v>
      </c>
      <c r="K10" s="40" t="s">
        <v>84</v>
      </c>
    </row>
    <row r="11" spans="1:11" x14ac:dyDescent="0.55000000000000004">
      <c r="A11" s="2" t="s">
        <v>5</v>
      </c>
      <c r="C11" s="21">
        <f t="shared" ref="C11" si="0">SUM(C6:C10)</f>
        <v>4362.0728529999997</v>
      </c>
      <c r="D11" s="21">
        <f>SUM(D6:D10)</f>
        <v>4642.1323240000002</v>
      </c>
      <c r="E11" s="21">
        <f>SUM(E6:E10)</f>
        <v>5045.5955130000002</v>
      </c>
      <c r="H11" s="40">
        <v>345</v>
      </c>
      <c r="I11" s="40">
        <v>317</v>
      </c>
      <c r="J11" s="42">
        <v>784.35010999999997</v>
      </c>
      <c r="K11" s="40" t="s">
        <v>85</v>
      </c>
    </row>
    <row r="12" spans="1:11" x14ac:dyDescent="0.55000000000000004">
      <c r="A12" s="36" t="s">
        <v>73</v>
      </c>
      <c r="B12" s="37"/>
      <c r="C12" s="34"/>
      <c r="D12" s="34"/>
      <c r="E12" s="34"/>
      <c r="F12" s="35"/>
    </row>
    <row r="13" spans="1:11" x14ac:dyDescent="0.55000000000000004">
      <c r="A13" s="24" t="s">
        <v>74</v>
      </c>
      <c r="C13" s="21">
        <v>4088.3799209099998</v>
      </c>
      <c r="D13" s="21">
        <v>4341.5937351900002</v>
      </c>
      <c r="E13" s="3">
        <v>4712.6278564699996</v>
      </c>
    </row>
    <row r="14" spans="1:11" x14ac:dyDescent="0.55000000000000004">
      <c r="A14" s="5" t="s">
        <v>68</v>
      </c>
      <c r="C14" s="21">
        <f>C11-C13</f>
        <v>273.69293208999989</v>
      </c>
      <c r="D14" s="21">
        <f t="shared" ref="D14:E14" si="1">D11-D13</f>
        <v>300.53858880999996</v>
      </c>
      <c r="E14" s="21">
        <f t="shared" si="1"/>
        <v>332.96765653000057</v>
      </c>
    </row>
    <row r="15" spans="1:11" x14ac:dyDescent="0.55000000000000004">
      <c r="A15" s="11" t="s">
        <v>76</v>
      </c>
      <c r="C15" s="21">
        <f>C11-C8</f>
        <v>4089.9338909999997</v>
      </c>
      <c r="D15" s="21">
        <f>D11-D8</f>
        <v>4343.1678250000004</v>
      </c>
      <c r="E15" s="21">
        <f>E11-E8</f>
        <v>4714.1476030000003</v>
      </c>
    </row>
    <row r="16" spans="1:11" x14ac:dyDescent="0.55000000000000004">
      <c r="A16" s="5" t="s">
        <v>77</v>
      </c>
      <c r="C16" s="21">
        <f>C15-C9</f>
        <v>4088.3799209999997</v>
      </c>
      <c r="D16" s="21">
        <f>D15-D9</f>
        <v>4341.5938350000006</v>
      </c>
      <c r="E16" s="21">
        <f>E15-E9</f>
        <v>4712.6132680000001</v>
      </c>
    </row>
    <row r="17" spans="1:11" x14ac:dyDescent="0.55000000000000004">
      <c r="A17" s="5" t="s">
        <v>75</v>
      </c>
      <c r="C17" s="21">
        <f>C16-C13</f>
        <v>8.9999957708641887E-8</v>
      </c>
      <c r="D17" s="21">
        <f t="shared" ref="D17:E17" si="2">D16-D13</f>
        <v>9.9810000392608345E-5</v>
      </c>
      <c r="E17" s="21">
        <f t="shared" si="2"/>
        <v>-1.4588469999580411E-2</v>
      </c>
    </row>
    <row r="18" spans="1:11" x14ac:dyDescent="0.55000000000000004">
      <c r="A18" s="38" t="s">
        <v>78</v>
      </c>
      <c r="B18" s="37"/>
      <c r="C18" s="34"/>
      <c r="D18" s="34"/>
      <c r="E18" s="39"/>
      <c r="F18" s="35"/>
    </row>
    <row r="19" spans="1:11" x14ac:dyDescent="0.55000000000000004">
      <c r="A19" s="24" t="s">
        <v>66</v>
      </c>
      <c r="C19" s="21">
        <v>4361</v>
      </c>
      <c r="D19" s="21">
        <v>4641</v>
      </c>
      <c r="E19" s="3"/>
      <c r="F19" t="s">
        <v>67</v>
      </c>
    </row>
    <row r="20" spans="1:11" x14ac:dyDescent="0.55000000000000004">
      <c r="A20" t="s">
        <v>61</v>
      </c>
      <c r="F20" t="s">
        <v>62</v>
      </c>
    </row>
    <row r="21" spans="1:11" x14ac:dyDescent="0.55000000000000004">
      <c r="A21" t="s">
        <v>64</v>
      </c>
      <c r="F21" t="s">
        <v>63</v>
      </c>
    </row>
    <row r="22" spans="1:11" x14ac:dyDescent="0.55000000000000004">
      <c r="A22" t="s">
        <v>17</v>
      </c>
    </row>
    <row r="23" spans="1:11" x14ac:dyDescent="0.55000000000000004">
      <c r="A23" s="2" t="s">
        <v>65</v>
      </c>
    </row>
    <row r="24" spans="1:11" x14ac:dyDescent="0.55000000000000004">
      <c r="K24" t="s">
        <v>17</v>
      </c>
    </row>
    <row r="40" spans="1:1" x14ac:dyDescent="0.55000000000000004">
      <c r="A40" s="2" t="s">
        <v>69</v>
      </c>
    </row>
    <row r="41" spans="1:1" x14ac:dyDescent="0.55000000000000004">
      <c r="A41" t="s">
        <v>70</v>
      </c>
    </row>
    <row r="42" spans="1:1" x14ac:dyDescent="0.55000000000000004">
      <c r="A42" t="s">
        <v>71</v>
      </c>
    </row>
    <row r="43" spans="1:1" x14ac:dyDescent="0.55000000000000004">
      <c r="A43" t="s">
        <v>90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B70C-E854-44E1-B702-55CFF500D0D2}">
  <dimension ref="A1:E19"/>
  <sheetViews>
    <sheetView workbookViewId="0">
      <selection activeCell="H18" sqref="H18"/>
    </sheetView>
  </sheetViews>
  <sheetFormatPr defaultRowHeight="14.4" x14ac:dyDescent="0.55000000000000004"/>
  <cols>
    <col min="1" max="1" width="42" customWidth="1"/>
    <col min="2" max="2" width="32.68359375" customWidth="1"/>
    <col min="3" max="3" width="40.20703125" customWidth="1"/>
  </cols>
  <sheetData>
    <row r="1" spans="1:5" x14ac:dyDescent="0.55000000000000004">
      <c r="A1" t="s">
        <v>99</v>
      </c>
    </row>
    <row r="2" spans="1:5" x14ac:dyDescent="0.55000000000000004">
      <c r="C2" s="2" t="s">
        <v>97</v>
      </c>
      <c r="D2" s="2" t="s">
        <v>79</v>
      </c>
      <c r="E2" s="2" t="s">
        <v>100</v>
      </c>
    </row>
    <row r="3" spans="1:5" x14ac:dyDescent="0.55000000000000004">
      <c r="A3" t="s">
        <v>96</v>
      </c>
      <c r="B3" s="1">
        <v>1821.5</v>
      </c>
      <c r="C3" t="s">
        <v>98</v>
      </c>
      <c r="D3" s="2" t="s">
        <v>108</v>
      </c>
      <c r="E3" s="1">
        <v>372.82100400000002</v>
      </c>
    </row>
    <row r="4" spans="1:5" x14ac:dyDescent="0.55000000000000004">
      <c r="B4" s="1"/>
      <c r="C4" t="s">
        <v>101</v>
      </c>
      <c r="D4" s="2" t="s">
        <v>109</v>
      </c>
      <c r="E4" s="1">
        <v>1448.6935840000001</v>
      </c>
    </row>
    <row r="5" spans="1:5" x14ac:dyDescent="0.55000000000000004">
      <c r="A5" t="s">
        <v>102</v>
      </c>
      <c r="B5" s="1">
        <v>886.54</v>
      </c>
      <c r="C5" t="s">
        <v>98</v>
      </c>
      <c r="D5" s="2" t="s">
        <v>108</v>
      </c>
      <c r="E5" s="1">
        <v>886.54</v>
      </c>
    </row>
    <row r="6" spans="1:5" x14ac:dyDescent="0.55000000000000004">
      <c r="A6" s="2" t="s">
        <v>103</v>
      </c>
      <c r="B6" s="1">
        <v>2004.6</v>
      </c>
      <c r="C6" t="s">
        <v>104</v>
      </c>
      <c r="D6" s="2" t="s">
        <v>106</v>
      </c>
      <c r="E6" s="1">
        <v>23.345963999999999</v>
      </c>
    </row>
    <row r="7" spans="1:5" x14ac:dyDescent="0.55000000000000004">
      <c r="B7" s="1"/>
      <c r="C7" t="s">
        <v>105</v>
      </c>
      <c r="D7" s="2" t="s">
        <v>107</v>
      </c>
      <c r="E7" s="1">
        <v>1981.227304</v>
      </c>
    </row>
    <row r="8" spans="1:5" x14ac:dyDescent="0.55000000000000004">
      <c r="B8" s="1"/>
      <c r="D8" s="2"/>
      <c r="E8" s="1"/>
    </row>
    <row r="9" spans="1:5" x14ac:dyDescent="0.55000000000000004">
      <c r="A9" s="2" t="s">
        <v>5</v>
      </c>
      <c r="B9" s="1">
        <f>SUM(B3:B6)</f>
        <v>4712.6399999999994</v>
      </c>
      <c r="D9" s="2"/>
      <c r="E9" s="1">
        <f>SUM(E3:E7)</f>
        <v>4712.6278560000001</v>
      </c>
    </row>
    <row r="11" spans="1:5" x14ac:dyDescent="0.55000000000000004">
      <c r="B11" s="1"/>
    </row>
    <row r="12" spans="1:5" x14ac:dyDescent="0.55000000000000004">
      <c r="A12" s="2" t="s">
        <v>110</v>
      </c>
      <c r="B12" s="44" t="s">
        <v>97</v>
      </c>
      <c r="C12" s="2" t="s">
        <v>100</v>
      </c>
    </row>
    <row r="13" spans="1:5" x14ac:dyDescent="0.55000000000000004">
      <c r="A13" t="s">
        <v>111</v>
      </c>
      <c r="B13" t="s">
        <v>98</v>
      </c>
      <c r="C13" s="1">
        <v>372.82100400000002</v>
      </c>
    </row>
    <row r="14" spans="1:5" x14ac:dyDescent="0.55000000000000004">
      <c r="A14" t="s">
        <v>111</v>
      </c>
      <c r="B14" t="s">
        <v>101</v>
      </c>
      <c r="C14" s="1">
        <v>1448.6935840000001</v>
      </c>
    </row>
    <row r="15" spans="1:5" x14ac:dyDescent="0.55000000000000004">
      <c r="A15" t="s">
        <v>102</v>
      </c>
      <c r="B15" t="s">
        <v>98</v>
      </c>
      <c r="C15" s="1">
        <v>886.54</v>
      </c>
    </row>
    <row r="16" spans="1:5" x14ac:dyDescent="0.55000000000000004">
      <c r="A16" s="2" t="s">
        <v>103</v>
      </c>
      <c r="B16" t="s">
        <v>104</v>
      </c>
      <c r="C16" s="1">
        <v>23.345963999999999</v>
      </c>
    </row>
    <row r="17" spans="1:3" x14ac:dyDescent="0.55000000000000004">
      <c r="A17" s="2" t="s">
        <v>103</v>
      </c>
      <c r="B17" t="s">
        <v>105</v>
      </c>
      <c r="C17" s="1">
        <v>1981.227304</v>
      </c>
    </row>
    <row r="18" spans="1:3" x14ac:dyDescent="0.55000000000000004">
      <c r="B18" s="1"/>
    </row>
    <row r="19" spans="1:3" x14ac:dyDescent="0.55000000000000004">
      <c r="B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Logic_Model</vt:lpstr>
      <vt:lpstr>Revenue_Forecasts</vt:lpstr>
      <vt:lpstr>For_Alea</vt:lpstr>
      <vt:lpstr>Sankey_Alea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Worthington</dc:creator>
  <cp:lastModifiedBy>Wilbur-Mujtaba, Alea</cp:lastModifiedBy>
  <cp:lastPrinted>2025-10-14T19:42:09Z</cp:lastPrinted>
  <dcterms:created xsi:type="dcterms:W3CDTF">2025-08-23T17:53:33Z</dcterms:created>
  <dcterms:modified xsi:type="dcterms:W3CDTF">2025-10-16T19:48:13Z</dcterms:modified>
</cp:coreProperties>
</file>