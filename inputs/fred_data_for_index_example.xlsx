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leaw\Documents\PhD Fall 2021 - Spring 2022\Merriman RA\Fiscal Futures IGPA\Fiscal-Future-Topics\inputs\"/>
    </mc:Choice>
  </mc:AlternateContent>
  <xr:revisionPtr revIDLastSave="0" documentId="13_ncr:1_{FB824D0D-39C8-4F8E-8076-E243106EDE27}" xr6:coauthVersionLast="47" xr6:coauthVersionMax="47" xr10:uidLastSave="{00000000-0000-0000-0000-000000000000}"/>
  <bookViews>
    <workbookView xWindow="11520" yWindow="0" windowWidth="11520" windowHeight="12360" firstSheet="1" activeTab="2" xr2:uid="{F9FC9063-4972-431E-ADE6-FD21D4A353D7}"/>
  </bookViews>
  <sheets>
    <sheet name="fred_data_for_index" sheetId="1" r:id="rId1"/>
    <sheet name="Fiscal Gap" sheetId="2" r:id="rId2"/>
    <sheet name="readme"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1" i="1" l="1"/>
  <c r="W22" i="1"/>
  <c r="W23" i="1"/>
  <c r="W24" i="1"/>
  <c r="W25" i="1"/>
  <c r="W26" i="1"/>
  <c r="W27" i="1"/>
  <c r="W28" i="1"/>
  <c r="W29" i="1"/>
  <c r="W20" i="1"/>
  <c r="V21" i="1"/>
  <c r="V22" i="1"/>
  <c r="V23" i="1"/>
  <c r="V24" i="1"/>
  <c r="V25" i="1"/>
  <c r="V26" i="1"/>
  <c r="V27" i="1"/>
  <c r="V28" i="1"/>
  <c r="V29" i="1"/>
  <c r="V20" i="1"/>
  <c r="H4" i="1"/>
  <c r="H5" i="1"/>
  <c r="H8" i="1"/>
  <c r="H12" i="1"/>
  <c r="H13" i="1"/>
  <c r="H16" i="1"/>
  <c r="H20" i="1"/>
  <c r="H21" i="1"/>
  <c r="H24" i="1"/>
  <c r="H28" i="1"/>
  <c r="H29" i="1"/>
  <c r="S24" i="1"/>
  <c r="G3" i="1"/>
  <c r="P3" i="1" s="1"/>
  <c r="G4" i="1"/>
  <c r="P4" i="1" s="1"/>
  <c r="G5" i="1"/>
  <c r="P5" i="1" s="1"/>
  <c r="G6" i="1"/>
  <c r="P6" i="1" s="1"/>
  <c r="G7" i="1"/>
  <c r="P7" i="1" s="1"/>
  <c r="G8" i="1"/>
  <c r="P8" i="1" s="1"/>
  <c r="G9" i="1"/>
  <c r="P9" i="1" s="1"/>
  <c r="G10" i="1"/>
  <c r="P10" i="1" s="1"/>
  <c r="G11" i="1"/>
  <c r="P11" i="1" s="1"/>
  <c r="G12" i="1"/>
  <c r="P12" i="1" s="1"/>
  <c r="G13" i="1"/>
  <c r="P13" i="1" s="1"/>
  <c r="G14" i="1"/>
  <c r="P14" i="1" s="1"/>
  <c r="G15" i="1"/>
  <c r="P15" i="1" s="1"/>
  <c r="G16" i="1"/>
  <c r="P16" i="1" s="1"/>
  <c r="G17" i="1"/>
  <c r="P17" i="1" s="1"/>
  <c r="G18" i="1"/>
  <c r="P18" i="1" s="1"/>
  <c r="G19" i="1"/>
  <c r="P19" i="1" s="1"/>
  <c r="G20" i="1"/>
  <c r="P20" i="1" s="1"/>
  <c r="G21" i="1"/>
  <c r="P21" i="1" s="1"/>
  <c r="G22" i="1"/>
  <c r="P22" i="1" s="1"/>
  <c r="G23" i="1"/>
  <c r="P23" i="1" s="1"/>
  <c r="G24" i="1"/>
  <c r="P24" i="1" s="1"/>
  <c r="G25" i="1"/>
  <c r="P25" i="1" s="1"/>
  <c r="G26" i="1"/>
  <c r="P26" i="1" s="1"/>
  <c r="G27" i="1"/>
  <c r="P27" i="1" s="1"/>
  <c r="G28" i="1"/>
  <c r="P28" i="1" s="1"/>
  <c r="G29" i="1"/>
  <c r="P29" i="1" s="1"/>
  <c r="G2" i="1"/>
  <c r="P2" i="1" s="1"/>
  <c r="F3" i="1"/>
  <c r="O3" i="1" s="1"/>
  <c r="F4" i="1"/>
  <c r="O4" i="1" s="1"/>
  <c r="F5" i="1"/>
  <c r="O5" i="1" s="1"/>
  <c r="F6" i="1"/>
  <c r="O6" i="1" s="1"/>
  <c r="F7" i="1"/>
  <c r="O7" i="1" s="1"/>
  <c r="F8" i="1"/>
  <c r="O8" i="1" s="1"/>
  <c r="F9" i="1"/>
  <c r="O9" i="1" s="1"/>
  <c r="F10" i="1"/>
  <c r="O10" i="1" s="1"/>
  <c r="F11" i="1"/>
  <c r="O11" i="1" s="1"/>
  <c r="F12" i="1"/>
  <c r="O12" i="1" s="1"/>
  <c r="F13" i="1"/>
  <c r="O13" i="1" s="1"/>
  <c r="F14" i="1"/>
  <c r="O14" i="1" s="1"/>
  <c r="F15" i="1"/>
  <c r="O15" i="1" s="1"/>
  <c r="F16" i="1"/>
  <c r="O16" i="1" s="1"/>
  <c r="F17" i="1"/>
  <c r="O17" i="1" s="1"/>
  <c r="F18" i="1"/>
  <c r="O18" i="1" s="1"/>
  <c r="F19" i="1"/>
  <c r="O19" i="1" s="1"/>
  <c r="F20" i="1"/>
  <c r="O20" i="1" s="1"/>
  <c r="F21" i="1"/>
  <c r="O21" i="1" s="1"/>
  <c r="F22" i="1"/>
  <c r="O22" i="1" s="1"/>
  <c r="F23" i="1"/>
  <c r="O23" i="1" s="1"/>
  <c r="F24" i="1"/>
  <c r="O24" i="1" s="1"/>
  <c r="F25" i="1"/>
  <c r="O25" i="1" s="1"/>
  <c r="F26" i="1"/>
  <c r="O26" i="1" s="1"/>
  <c r="F27" i="1"/>
  <c r="O27" i="1" s="1"/>
  <c r="F28" i="1"/>
  <c r="O28" i="1" s="1"/>
  <c r="F29" i="1"/>
  <c r="O29" i="1" s="1"/>
  <c r="F2" i="1"/>
  <c r="O2" i="1" s="1"/>
  <c r="M3" i="1"/>
  <c r="M4" i="1"/>
  <c r="M5" i="1"/>
  <c r="M6" i="1"/>
  <c r="M7" i="1"/>
  <c r="M8" i="1"/>
  <c r="M9" i="1"/>
  <c r="M10" i="1"/>
  <c r="M11" i="1"/>
  <c r="M12" i="1"/>
  <c r="M13" i="1"/>
  <c r="M14" i="1"/>
  <c r="M15" i="1"/>
  <c r="M16" i="1"/>
  <c r="M17" i="1"/>
  <c r="M18" i="1"/>
  <c r="M19" i="1"/>
  <c r="M20" i="1"/>
  <c r="M21" i="1"/>
  <c r="M22" i="1"/>
  <c r="M23" i="1"/>
  <c r="M24" i="1"/>
  <c r="M25" i="1"/>
  <c r="M26" i="1"/>
  <c r="M27" i="1"/>
  <c r="M28" i="1"/>
  <c r="M29" i="1"/>
  <c r="M2" i="1"/>
  <c r="L2" i="1"/>
  <c r="L20" i="1"/>
  <c r="L21" i="1"/>
  <c r="L22" i="1"/>
  <c r="L23" i="1"/>
  <c r="L24" i="1"/>
  <c r="L25" i="1"/>
  <c r="L26" i="1"/>
  <c r="L27" i="1"/>
  <c r="L28" i="1"/>
  <c r="L29" i="1"/>
  <c r="L3" i="1"/>
  <c r="L4" i="1"/>
  <c r="L5" i="1"/>
  <c r="L6" i="1"/>
  <c r="L7" i="1"/>
  <c r="L8" i="1"/>
  <c r="L9" i="1"/>
  <c r="L10" i="1"/>
  <c r="L11" i="1"/>
  <c r="L12" i="1"/>
  <c r="L13" i="1"/>
  <c r="L14" i="1"/>
  <c r="L15" i="1"/>
  <c r="L16" i="1"/>
  <c r="L17" i="1"/>
  <c r="L18" i="1"/>
  <c r="L19" i="1"/>
  <c r="J3" i="1"/>
  <c r="J4" i="1"/>
  <c r="J5" i="1"/>
  <c r="J6" i="1"/>
  <c r="J7" i="1"/>
  <c r="J8" i="1"/>
  <c r="J9" i="1"/>
  <c r="J10" i="1"/>
  <c r="J11" i="1"/>
  <c r="J12" i="1"/>
  <c r="J13" i="1"/>
  <c r="J14" i="1"/>
  <c r="J15" i="1"/>
  <c r="J16" i="1"/>
  <c r="J17" i="1"/>
  <c r="J18" i="1"/>
  <c r="J19" i="1"/>
  <c r="J20" i="1"/>
  <c r="J21" i="1"/>
  <c r="J22" i="1"/>
  <c r="J23" i="1"/>
  <c r="J24" i="1"/>
  <c r="J25" i="1"/>
  <c r="J26" i="1"/>
  <c r="J27" i="1"/>
  <c r="J28" i="1"/>
  <c r="I3" i="1"/>
  <c r="I4" i="1"/>
  <c r="I5" i="1"/>
  <c r="I6" i="1"/>
  <c r="I7" i="1"/>
  <c r="I8" i="1"/>
  <c r="I9" i="1"/>
  <c r="I10" i="1"/>
  <c r="I11" i="1"/>
  <c r="I12" i="1"/>
  <c r="I13" i="1"/>
  <c r="I14" i="1"/>
  <c r="I15" i="1"/>
  <c r="I16" i="1"/>
  <c r="I17" i="1"/>
  <c r="I18" i="1"/>
  <c r="I19" i="1"/>
  <c r="I20" i="1"/>
  <c r="I21" i="1"/>
  <c r="I22" i="1"/>
  <c r="I23" i="1"/>
  <c r="I24" i="1"/>
  <c r="I25" i="1"/>
  <c r="I26" i="1"/>
  <c r="I27" i="1"/>
  <c r="I28" i="1"/>
  <c r="I2" i="1"/>
  <c r="J2" i="1"/>
  <c r="H27" i="1" l="1"/>
  <c r="H19" i="1"/>
  <c r="H11" i="1"/>
  <c r="H3" i="1"/>
  <c r="H26" i="1"/>
  <c r="H18" i="1"/>
  <c r="H10" i="1"/>
  <c r="H25" i="1"/>
  <c r="H17" i="1"/>
  <c r="H9" i="1"/>
  <c r="H23" i="1"/>
  <c r="H15" i="1"/>
  <c r="H7" i="1"/>
  <c r="S19" i="1"/>
  <c r="H2" i="1"/>
  <c r="H22" i="1"/>
  <c r="H14" i="1"/>
  <c r="H6" i="1"/>
  <c r="S21" i="1"/>
  <c r="T25" i="1"/>
  <c r="T17" i="1"/>
  <c r="S27" i="1"/>
  <c r="S11" i="1"/>
  <c r="S3" i="1"/>
  <c r="T23" i="1"/>
  <c r="T15" i="1"/>
  <c r="T7" i="1"/>
  <c r="S26" i="1"/>
  <c r="S18" i="1"/>
  <c r="S10" i="1"/>
  <c r="T2" i="1"/>
  <c r="T22" i="1"/>
  <c r="T14" i="1"/>
  <c r="T6" i="1"/>
  <c r="S25" i="1"/>
  <c r="S17" i="1"/>
  <c r="S9" i="1"/>
  <c r="T29" i="1"/>
  <c r="T21" i="1"/>
  <c r="T13" i="1"/>
  <c r="T5" i="1"/>
  <c r="U5" i="1" s="1"/>
  <c r="S29" i="1"/>
  <c r="S13" i="1"/>
  <c r="S5" i="1"/>
  <c r="T9" i="1"/>
  <c r="U9" i="1" s="1"/>
  <c r="S28" i="1"/>
  <c r="S20" i="1"/>
  <c r="S12" i="1"/>
  <c r="S4" i="1"/>
  <c r="T24" i="1"/>
  <c r="U24" i="1" s="1"/>
  <c r="T16" i="1"/>
  <c r="T8" i="1"/>
  <c r="S16" i="1"/>
  <c r="S8" i="1"/>
  <c r="T28" i="1"/>
  <c r="T20" i="1"/>
  <c r="U20" i="1" s="1"/>
  <c r="T12" i="1"/>
  <c r="T4" i="1"/>
  <c r="S23" i="1"/>
  <c r="S15" i="1"/>
  <c r="S7" i="1"/>
  <c r="T27" i="1"/>
  <c r="U27" i="1" s="1"/>
  <c r="T19" i="1"/>
  <c r="T11" i="1"/>
  <c r="U11" i="1" s="1"/>
  <c r="T3" i="1"/>
  <c r="S2" i="1"/>
  <c r="S22" i="1"/>
  <c r="S14" i="1"/>
  <c r="S6" i="1"/>
  <c r="T26" i="1"/>
  <c r="T18" i="1"/>
  <c r="U18" i="1" s="1"/>
  <c r="T10" i="1"/>
  <c r="U10" i="1" s="1"/>
  <c r="Q25" i="1"/>
  <c r="Q17" i="1"/>
  <c r="Q9" i="1"/>
  <c r="Q24" i="1"/>
  <c r="Q16" i="1"/>
  <c r="Q8" i="1"/>
  <c r="Q23" i="1"/>
  <c r="Q15" i="1"/>
  <c r="Q7" i="1"/>
  <c r="Q6" i="1"/>
  <c r="Q2" i="1"/>
  <c r="Q14" i="1"/>
  <c r="Q28" i="1"/>
  <c r="Q20" i="1"/>
  <c r="Q12" i="1"/>
  <c r="Q4" i="1"/>
  <c r="Q22" i="1"/>
  <c r="Q29" i="1"/>
  <c r="Q21" i="1"/>
  <c r="Q13" i="1"/>
  <c r="Q5" i="1"/>
  <c r="Q27" i="1"/>
  <c r="Q19" i="1"/>
  <c r="Q11" i="1"/>
  <c r="Q3" i="1"/>
  <c r="Q26" i="1"/>
  <c r="Q18" i="1"/>
  <c r="Q10" i="1"/>
  <c r="K20" i="1"/>
  <c r="K28" i="1"/>
  <c r="K12" i="1"/>
  <c r="K4" i="1"/>
  <c r="K27" i="1"/>
  <c r="K18" i="1"/>
  <c r="K10" i="1"/>
  <c r="N29" i="1"/>
  <c r="N21" i="1"/>
  <c r="K23" i="1"/>
  <c r="N27" i="1"/>
  <c r="K26" i="1"/>
  <c r="K22" i="1"/>
  <c r="K14" i="1"/>
  <c r="K6" i="1"/>
  <c r="N26" i="1"/>
  <c r="N22" i="1"/>
  <c r="N12" i="1"/>
  <c r="N4" i="1"/>
  <c r="K21" i="1"/>
  <c r="K13" i="1"/>
  <c r="K5" i="1"/>
  <c r="N13" i="1"/>
  <c r="N5" i="1"/>
  <c r="K19" i="1"/>
  <c r="K11" i="1"/>
  <c r="K3" i="1"/>
  <c r="N19" i="1"/>
  <c r="N11" i="1"/>
  <c r="N3" i="1"/>
  <c r="K25" i="1"/>
  <c r="K17" i="1"/>
  <c r="K9" i="1"/>
  <c r="N18" i="1"/>
  <c r="N10" i="1"/>
  <c r="N25" i="1"/>
  <c r="K2" i="1"/>
  <c r="K24" i="1"/>
  <c r="K16" i="1"/>
  <c r="K8" i="1"/>
  <c r="N28" i="1"/>
  <c r="N20" i="1"/>
  <c r="N24" i="1"/>
  <c r="N16" i="1"/>
  <c r="K15" i="1"/>
  <c r="K7" i="1"/>
  <c r="N23" i="1"/>
  <c r="N15" i="1"/>
  <c r="N7" i="1"/>
  <c r="N2" i="1"/>
  <c r="N14" i="1"/>
  <c r="N6" i="1"/>
  <c r="N17" i="1"/>
  <c r="N9" i="1"/>
  <c r="N8" i="1"/>
  <c r="U16" i="1" l="1"/>
  <c r="U6" i="1"/>
  <c r="U26" i="1"/>
  <c r="U7" i="1"/>
  <c r="U4" i="1"/>
  <c r="U15" i="1"/>
  <c r="U3" i="1"/>
  <c r="U12" i="1"/>
  <c r="U14" i="1"/>
  <c r="U13" i="1"/>
  <c r="U22" i="1"/>
  <c r="U19" i="1"/>
  <c r="U28" i="1"/>
  <c r="U21" i="1"/>
  <c r="U23" i="1"/>
  <c r="U2" i="1"/>
  <c r="U29" i="1"/>
  <c r="U17" i="1"/>
  <c r="U8" i="1"/>
  <c r="U25" i="1"/>
</calcChain>
</file>

<file path=xl/sharedStrings.xml><?xml version="1.0" encoding="utf-8"?>
<sst xmlns="http://schemas.openxmlformats.org/spreadsheetml/2006/main" count="68" uniqueCount="62">
  <si>
    <t>year</t>
  </si>
  <si>
    <t>ILNGSP</t>
  </si>
  <si>
    <t>CPIAUCSL</t>
  </si>
  <si>
    <t>WPSFD49406</t>
  </si>
  <si>
    <t>ILPOP</t>
  </si>
  <si>
    <t>Year</t>
  </si>
  <si>
    <t>Expenditures</t>
  </si>
  <si>
    <t>Revenue</t>
  </si>
  <si>
    <t>Fiscal Gap</t>
  </si>
  <si>
    <t>expenditure_adjusted_cpi</t>
  </si>
  <si>
    <t>revenue_adjusted_cpi</t>
  </si>
  <si>
    <t>fiscal_gap_adjusted_cpi</t>
  </si>
  <si>
    <t>fiscal_gap_gsp</t>
  </si>
  <si>
    <t>expenditure_share_gsp</t>
  </si>
  <si>
    <t>revenue_share_gsp</t>
  </si>
  <si>
    <t>expenditure_nominal</t>
  </si>
  <si>
    <t>revenue_nominal</t>
  </si>
  <si>
    <t>Illinois Gross State Product</t>
  </si>
  <si>
    <t>Notes</t>
  </si>
  <si>
    <t>Full Label</t>
  </si>
  <si>
    <t>Variable</t>
  </si>
  <si>
    <t>Government Purchases, Non Defense</t>
  </si>
  <si>
    <t>GSP measured in millions of dollars</t>
  </si>
  <si>
    <t>in Thousands of people</t>
  </si>
  <si>
    <t>State Population (Illinois)</t>
  </si>
  <si>
    <t>nominal_exp_perperson</t>
  </si>
  <si>
    <t>nominal_rev_perperson</t>
  </si>
  <si>
    <t>fiscal_gap_perperson</t>
  </si>
  <si>
    <t>Consumer Price Index</t>
  </si>
  <si>
    <t>Fiscal Gap Tab</t>
  </si>
  <si>
    <t>Copy/pasted from summary file used to make DataHub</t>
  </si>
  <si>
    <t xml:space="preserve">USBEA </t>
  </si>
  <si>
    <t>Measures inflation for goods andservices purchased by state and local governments.</t>
  </si>
  <si>
    <t>Excel Tab: Fiscal Gap Data</t>
  </si>
  <si>
    <t>To adjust for wages, purchasing power, or cost-of -living expenses</t>
  </si>
  <si>
    <t>To adjust revenue for inflation to see "real" production value</t>
  </si>
  <si>
    <t>A829RD3Q086SBEA</t>
  </si>
  <si>
    <t>exp_adj_sbea</t>
  </si>
  <si>
    <t>rev_adj_sbea</t>
  </si>
  <si>
    <t>fiscal_gap_sbea</t>
  </si>
  <si>
    <t>exp_adj_wpsfd</t>
  </si>
  <si>
    <t>rev_adj_wpsfd</t>
  </si>
  <si>
    <t>fiscal_gap_nominal</t>
  </si>
  <si>
    <t>Nominal Dollars</t>
  </si>
  <si>
    <t>no change</t>
  </si>
  <si>
    <t>Nominal per Person</t>
  </si>
  <si>
    <t>CPI</t>
  </si>
  <si>
    <t>Current Label</t>
  </si>
  <si>
    <t>Suggested Label</t>
  </si>
  <si>
    <t>Consumer Price Index (CPI)</t>
  </si>
  <si>
    <t>SBEA</t>
  </si>
  <si>
    <t>SWPSFD</t>
  </si>
  <si>
    <t>Share GSP%</t>
  </si>
  <si>
    <t>State &amp; Local Gov. Price Deflator (S&amp;L IPD)</t>
  </si>
  <si>
    <t>Use/Description</t>
  </si>
  <si>
    <t>Producer Price Index (PPI)</t>
  </si>
  <si>
    <t>Share of Illinois Gross State Product (ILGSP)</t>
  </si>
  <si>
    <t>Consumer Price Index for All Urban Consumers: All Items in U.S. City Average: Measures changes in consumer prices over time. This is a broad inflation adjustment that helps express fiscal totals in real purchasing-power terms (Series identifier CPIAUCSL)</t>
  </si>
  <si>
    <t>Implicit Price Deflator for State and Local Government Purchases (S&amp;L IPD): State governments frequently use this specific index to calculate legal funding adjustments, school district spending caps, and local agency budget inflators. Measures price changes for goods and services purchased by governments, excluding defense. This adjustment is useful for approximating how the cost of public-sector purchases changes over time. (Series identifier A829RD3Q086SBEA)</t>
  </si>
  <si>
    <t>Measures Illinois’ population in thousands of residents. Adjusting by population shows fiscal totals on a per-person basis.</t>
  </si>
  <si>
    <t>Producer Price Index by Commodity: Final Demand: Government Purchases, Nondefense: Measures price changes for goods and services purchased by governments, excluding defense. This adjustment is useful for approximating how the cost of public-sector purchases changes over time. (Series identifier WPSFD49406)</t>
  </si>
  <si>
    <t>GSP measures the total value of goods and services produced in Illinois. Adjusting by GSP helps compare fiscal totals relative to the size of the state economy. (Series identifier ILNGSP)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</si>
</sst>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21" x14ac:knownFonts="1">
    <font>
      <sz val="18"/>
      <color theme="1"/>
      <name val="Times New Roman"/>
      <family val="2"/>
    </font>
    <font>
      <sz val="18"/>
      <color theme="1"/>
      <name val="Times New Roman"/>
      <family val="2"/>
    </font>
    <font>
      <sz val="18"/>
      <color theme="3"/>
      <name val="Aptos Display"/>
      <family val="2"/>
      <scheme val="major"/>
    </font>
    <font>
      <b/>
      <sz val="15"/>
      <color theme="3"/>
      <name val="Times New Roman"/>
      <family val="2"/>
    </font>
    <font>
      <b/>
      <sz val="13"/>
      <color theme="3"/>
      <name val="Times New Roman"/>
      <family val="2"/>
    </font>
    <font>
      <b/>
      <sz val="11"/>
      <color theme="3"/>
      <name val="Times New Roman"/>
      <family val="2"/>
    </font>
    <font>
      <sz val="18"/>
      <color rgb="FF006100"/>
      <name val="Times New Roman"/>
      <family val="2"/>
    </font>
    <font>
      <sz val="18"/>
      <color rgb="FF9C0006"/>
      <name val="Times New Roman"/>
      <family val="2"/>
    </font>
    <font>
      <sz val="18"/>
      <color rgb="FF9C5700"/>
      <name val="Times New Roman"/>
      <family val="2"/>
    </font>
    <font>
      <sz val="18"/>
      <color rgb="FF3F3F76"/>
      <name val="Times New Roman"/>
      <family val="2"/>
    </font>
    <font>
      <b/>
      <sz val="18"/>
      <color rgb="FF3F3F3F"/>
      <name val="Times New Roman"/>
      <family val="2"/>
    </font>
    <font>
      <b/>
      <sz val="18"/>
      <color rgb="FFFA7D00"/>
      <name val="Times New Roman"/>
      <family val="2"/>
    </font>
    <font>
      <sz val="18"/>
      <color rgb="FFFA7D00"/>
      <name val="Times New Roman"/>
      <family val="2"/>
    </font>
    <font>
      <b/>
      <sz val="18"/>
      <color theme="0"/>
      <name val="Times New Roman"/>
      <family val="2"/>
    </font>
    <font>
      <sz val="18"/>
      <color rgb="FFFF0000"/>
      <name val="Times New Roman"/>
      <family val="2"/>
    </font>
    <font>
      <i/>
      <sz val="18"/>
      <color rgb="FF7F7F7F"/>
      <name val="Times New Roman"/>
      <family val="2"/>
    </font>
    <font>
      <b/>
      <sz val="18"/>
      <color theme="1"/>
      <name val="Times New Roman"/>
      <family val="2"/>
    </font>
    <font>
      <sz val="18"/>
      <color theme="0"/>
      <name val="Times New Roman"/>
      <family val="2"/>
    </font>
    <font>
      <sz val="9"/>
      <name val="Times New Roman"/>
      <family val="2"/>
    </font>
    <font>
      <sz val="18"/>
      <name val="Times New Roman"/>
      <family val="1"/>
    </font>
    <font>
      <b/>
      <sz val="18"/>
      <color theme="1"/>
      <name val="Times New Roman"/>
      <family val="1"/>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249977111117893"/>
        <bgColor indexed="64"/>
      </patternFill>
    </fill>
    <fill>
      <patternFill patternType="solid">
        <fgColor theme="4" tint="-0.499984740745262"/>
        <bgColor indexed="64"/>
      </patternFill>
    </fill>
    <fill>
      <patternFill patternType="solid">
        <fgColor theme="4" tint="0.39997558519241921"/>
        <bgColor indexed="64"/>
      </patternFill>
    </fill>
    <fill>
      <patternFill patternType="solid">
        <fgColor theme="3" tint="0.49998474074526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
      <left/>
      <right/>
      <top style="thin">
        <color theme="4" tint="0.39997558519241921"/>
      </top>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15">
    <xf numFmtId="0" fontId="0" fillId="0" borderId="0" xfId="0"/>
    <xf numFmtId="10" fontId="0" fillId="0" borderId="0" xfId="43" applyNumberFormat="1" applyFont="1"/>
    <xf numFmtId="10" fontId="0" fillId="0" borderId="0" xfId="0" applyNumberFormat="1"/>
    <xf numFmtId="0" fontId="19" fillId="0" borderId="10" xfId="0" applyFont="1" applyBorder="1"/>
    <xf numFmtId="164" fontId="0" fillId="0" borderId="0" xfId="42" applyNumberFormat="1" applyFont="1"/>
    <xf numFmtId="0" fontId="19" fillId="0" borderId="11" xfId="0" applyFont="1" applyBorder="1"/>
    <xf numFmtId="10" fontId="0" fillId="34" borderId="0" xfId="43" applyNumberFormat="1" applyFont="1" applyFill="1" applyAlignment="1"/>
    <xf numFmtId="0" fontId="0" fillId="34" borderId="0" xfId="0" applyFill="1"/>
    <xf numFmtId="164" fontId="0" fillId="0" borderId="0" xfId="42" applyNumberFormat="1" applyFont="1" applyAlignment="1"/>
    <xf numFmtId="164" fontId="0" fillId="33" borderId="0" xfId="42" applyNumberFormat="1" applyFont="1" applyFill="1" applyAlignment="1"/>
    <xf numFmtId="164" fontId="0" fillId="35" borderId="0" xfId="42" applyNumberFormat="1" applyFont="1" applyFill="1" applyAlignment="1"/>
    <xf numFmtId="0" fontId="0" fillId="36" borderId="0" xfId="0" applyFill="1"/>
    <xf numFmtId="0" fontId="20" fillId="0" borderId="0" xfId="0" applyFont="1"/>
    <xf numFmtId="0" fontId="0" fillId="0" borderId="0" xfId="0" applyAlignment="1">
      <alignment wrapText="1"/>
    </xf>
    <xf numFmtId="0" fontId="20" fillId="0" borderId="0" xfId="0" applyFont="1" applyAlignment="1">
      <alignment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26">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8"/>
        <color auto="1"/>
        <name val="Times New Roman"/>
        <family val="1"/>
        <scheme val="none"/>
      </font>
      <fill>
        <patternFill patternType="none">
          <fgColor indexed="64"/>
          <bgColor auto="1"/>
        </patternFill>
      </fill>
      <border diagonalUp="0" diagonalDown="0" outline="0">
        <left/>
        <right/>
        <top style="thin">
          <color theme="4" tint="0.39997558519241921"/>
        </top>
        <bottom style="thin">
          <color theme="4" tint="0.39997558519241921"/>
        </bottom>
      </border>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font>
        <b val="0"/>
        <i val="0"/>
        <strike val="0"/>
        <condense val="0"/>
        <extend val="0"/>
        <outline val="0"/>
        <shadow val="0"/>
        <u val="none"/>
        <vertAlign val="baseline"/>
        <sz val="18"/>
        <color theme="1"/>
        <name val="Times New Roman"/>
        <family val="2"/>
        <scheme val="none"/>
      </font>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4" formatCode="0.00%"/>
    </dxf>
    <dxf>
      <numFmt numFmtId="14" formatCode="0.00%"/>
    </dxf>
    <dxf>
      <numFmt numFmtId="14" formatCode="0.00%"/>
    </dxf>
    <dxf>
      <font>
        <b val="0"/>
        <i val="0"/>
        <strike val="0"/>
        <condense val="0"/>
        <extend val="0"/>
        <outline val="0"/>
        <shadow val="0"/>
        <u val="none"/>
        <vertAlign val="baseline"/>
        <sz val="18"/>
        <color theme="1"/>
        <name val="Times New Roman"/>
        <family val="2"/>
        <scheme val="none"/>
      </font>
      <numFmt numFmtId="164" formatCode="_(* #,##0_);_(* \(#,##0\);_(* &quot;-&quot;??_);_(@_)"/>
    </dxf>
    <dxf>
      <numFmt numFmtId="164" formatCode="_(* #,##0_);_(* \(#,##0\);_(* &quot;-&quot;??_);_(@_)"/>
    </dxf>
    <dxf>
      <numFmt numFmtId="164" formatCode="_(* #,##0_);_(* \(#,##0\);_(* &quot;-&quot;??_);_(@_)"/>
    </dxf>
    <dxf>
      <numFmt numFmtId="164" formatCode="_(* #,##0_);_(* \(#,##0\);_(* &quot;-&quot;??_);_(@_)"/>
    </dxf>
    <dxf>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08F2B4C-7B08-4280-8550-659ED39069DF}" name="Table1" displayName="Table1" ref="A1:W29" totalsRowShown="0" headerRowDxfId="25">
  <autoFilter ref="A1:W29" xr:uid="{508F2B4C-7B08-4280-8550-659ED39069DF}"/>
  <tableColumns count="23">
    <tableColumn id="1" xr3:uid="{D1964641-05FD-4C60-BF18-C391264CB04B}" name="year"/>
    <tableColumn id="2" xr3:uid="{DC3F6BD3-64C0-4DF2-8526-B8739E470834}" name="ILNGSP"/>
    <tableColumn id="3" xr3:uid="{DCA3AE60-7438-49B6-9C42-DA5017040293}" name="CPIAUCSL"/>
    <tableColumn id="4" xr3:uid="{75F596A5-A621-4444-9A2B-AD294A9B05E7}" name="WPSFD49406"/>
    <tableColumn id="5" xr3:uid="{E3EF3028-92B9-4B7F-9F03-F50ADE3A30B8}" name="ILPOP" dataDxfId="24" dataCellStyle="Comma"/>
    <tableColumn id="10" xr3:uid="{FDEA46D3-EA63-40A2-93D9-A63C6CB80236}" name="expenditure_nominal" dataDxfId="23" dataCellStyle="Comma">
      <calculatedColumnFormula>'Fiscal Gap'!B2</calculatedColumnFormula>
    </tableColumn>
    <tableColumn id="12" xr3:uid="{440DA18D-5BBA-4FF3-A1FF-3200E7B7B9E7}" name="revenue_nominal" dataDxfId="22" dataCellStyle="Comma">
      <calculatedColumnFormula>'Fiscal Gap'!C2</calculatedColumnFormula>
    </tableColumn>
    <tableColumn id="22" xr3:uid="{24C05968-8C23-41D8-8F6C-A4160CEBD4DC}" name="fiscal_gap_nominal" dataDxfId="21" dataCellStyle="Comma">
      <calculatedColumnFormula>Table1[[#This Row],[revenue_nominal]]-Table1[[#This Row],[expenditure_nominal]]</calculatedColumnFormula>
    </tableColumn>
    <tableColumn id="15" xr3:uid="{0776669A-2B31-4772-B607-4F69520929E3}" name="expenditure_share_gsp" dataDxfId="20" dataCellStyle="Percent">
      <calculatedColumnFormula>'Fiscal Gap'!B2/Table1[[#This Row],[ILNGSP]]</calculatedColumnFormula>
    </tableColumn>
    <tableColumn id="16" xr3:uid="{96D81B39-F0E7-4C0A-A850-5F7EED83F09A}" name="revenue_share_gsp" dataDxfId="19" dataCellStyle="Percent"/>
    <tableColumn id="17" xr3:uid="{9BAC7015-2124-4EF9-B7A8-12FED4AA042A}" name="fiscal_gap_gsp" dataDxfId="18"/>
    <tableColumn id="11" xr3:uid="{A4B7CDC2-CF5C-46AE-BFC5-FC7122AF861C}" name="expenditure_adjusted_cpi" dataDxfId="17" dataCellStyle="Comma">
      <calculatedColumnFormula>'Fiscal Gap'!B2*($C$29/Table1[[#This Row],[CPIAUCSL]])</calculatedColumnFormula>
    </tableColumn>
    <tableColumn id="13" xr3:uid="{73ED48B1-A7A3-4951-A66A-A8A76CA8FE53}" name="revenue_adjusted_cpi" dataDxfId="16" dataCellStyle="Comma">
      <calculatedColumnFormula>'Fiscal Gap'!C2*($C$29/Table1[[#This Row],[CPIAUCSL]])</calculatedColumnFormula>
    </tableColumn>
    <tableColumn id="14" xr3:uid="{6E3E1828-D0DA-4DC7-A10A-FA6EBC37D468}" name="fiscal_gap_adjusted_cpi" dataDxfId="15" dataCellStyle="Comma">
      <calculatedColumnFormula>Table1[[#This Row],[revenue_adjusted_cpi]]-Table1[[#This Row],[expenditure_adjusted_cpi]]</calculatedColumnFormula>
    </tableColumn>
    <tableColumn id="18" xr3:uid="{C0955592-94A4-4B85-B3DC-EB090DCCE198}" name="nominal_exp_perperson" dataDxfId="14" dataCellStyle="Comma">
      <calculatedColumnFormula>Table1[[#This Row],[expenditure_nominal]]/Table1[[#This Row],[ILPOP]]*1000</calculatedColumnFormula>
    </tableColumn>
    <tableColumn id="19" xr3:uid="{A080C0BC-604C-436F-8E37-CEAF4319E5FB}" name="nominal_rev_perperson" dataDxfId="13" dataCellStyle="Comma">
      <calculatedColumnFormula>Table1[[#This Row],[revenue_nominal]]/Table1[[#This Row],[ILPOP]]*1000</calculatedColumnFormula>
    </tableColumn>
    <tableColumn id="20" xr3:uid="{58D81F3C-421F-4902-8EBB-68D2E37204BA}" name="fiscal_gap_perperson" dataDxfId="12" dataCellStyle="Comma">
      <calculatedColumnFormula>Table1[[#This Row],[nominal_rev_perperson]]-Table1[[#This Row],[nominal_exp_perperson]]</calculatedColumnFormula>
    </tableColumn>
    <tableColumn id="7" xr3:uid="{CA00CDF8-3A3A-42B9-A059-9D0DFB7F3FCF}" name="A829RD3Q086SBEA" dataDxfId="11" dataCellStyle="Comma"/>
    <tableColumn id="8" xr3:uid="{55BAC28C-F1BB-4ACF-AD60-8E1F7C25D2F4}" name="exp_adj_sbea" dataDxfId="10" dataCellStyle="Comma">
      <calculatedColumnFormula>Table1[[#This Row],[expenditure_nominal]]*($R$29/Table1[[#This Row],[A829RD3Q086SBEA]])</calculatedColumnFormula>
    </tableColumn>
    <tableColumn id="9" xr3:uid="{7AB49384-6E1A-4B7F-A6ED-8D54BB37D3CB}" name="rev_adj_sbea" dataDxfId="9" dataCellStyle="Comma">
      <calculatedColumnFormula>Table1[[#This Row],[revenue_nominal]]*($R$29/Table1[[#This Row],[A829RD3Q086SBEA]])</calculatedColumnFormula>
    </tableColumn>
    <tableColumn id="21" xr3:uid="{7229C194-4760-4D65-96ED-69534F2BBD46}" name="fiscal_gap_sbea" dataDxfId="8" dataCellStyle="Comma">
      <calculatedColumnFormula>Table1[[#This Row],[rev_adj_sbea]]-Table1[[#This Row],[exp_adj_sbea]]</calculatedColumnFormula>
    </tableColumn>
    <tableColumn id="23" xr3:uid="{C50E1FE9-3F79-44AE-BD13-2CA9A6000882}" name="exp_adj_wpsfd" dataDxfId="7" dataCellStyle="Comma"/>
    <tableColumn id="24" xr3:uid="{8917EE51-CDD9-49C8-A8C7-B431B5EF9384}" name="rev_adj_wpsfd" dataDxfId="6" dataCellStyle="Comm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9D6EA97-D178-45BB-8C50-D67710D16D49}" name="Table3" displayName="Table3" ref="A1:D29" totalsRowShown="0">
  <autoFilter ref="A1:D29" xr:uid="{E9D6EA97-D178-45BB-8C50-D67710D16D49}"/>
  <tableColumns count="4">
    <tableColumn id="1" xr3:uid="{5EE169FD-7FC0-4498-A393-60F628731EB4}" name="Year"/>
    <tableColumn id="2" xr3:uid="{57F23BC1-AA35-4EA9-A873-2AB6795006D6}" name="Expenditures" dataDxfId="5" dataCellStyle="Comma"/>
    <tableColumn id="3" xr3:uid="{29695AFB-207D-4A36-9E0E-0451D2551219}" name="Revenue" dataDxfId="4" dataCellStyle="Comma"/>
    <tableColumn id="4" xr3:uid="{3D8894C9-DEB5-4105-B510-CC93FAF296AE}" name="Fiscal Gap" dataDxfId="3" dataCellStyle="Comma"/>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6B8C307-9C4A-4AE9-AE4A-953698D838FC}" name="Table2" displayName="Table2" ref="A1:C7" totalsRowShown="0">
  <autoFilter ref="A1:C7" xr:uid="{96B8C307-9C4A-4AE9-AE4A-953698D838FC}"/>
  <tableColumns count="3">
    <tableColumn id="1" xr3:uid="{E16922A9-740A-4923-8F97-EB91D7A34B1B}" name="Variable" dataDxfId="2"/>
    <tableColumn id="2" xr3:uid="{0858E89A-8C98-471E-97AB-840E41E80F15}" name="Full Label"/>
    <tableColumn id="3" xr3:uid="{007EC5D3-08AE-4B24-B694-812D6F8319AD}" name="Notes" dataDxfId="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020EB21-4EAB-4077-85E5-EB59A8269EFB}" name="Table5" displayName="Table5" ref="A10:C17" totalsRowShown="0">
  <autoFilter ref="A10:C17" xr:uid="{A020EB21-4EAB-4077-85E5-EB59A8269EFB}"/>
  <tableColumns count="3">
    <tableColumn id="1" xr3:uid="{10459B98-F3F0-4C3C-BA4C-299D610007CE}" name="Current Label"/>
    <tableColumn id="2" xr3:uid="{1B0C4460-D6EE-4494-8DEF-A36DDA266017}" name="Suggested Label"/>
    <tableColumn id="3" xr3:uid="{8F9F73D1-E1BA-4953-8416-64EB16F4E08C}" name="Use/Description" dataDxfId="0"/>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EC9E0-2E8A-4AB5-ACB7-010ED3D9855C}">
  <dimension ref="A1:W29"/>
  <sheetViews>
    <sheetView topLeftCell="N1" zoomScale="45" workbookViewId="0">
      <selection activeCell="R1" sqref="R1"/>
    </sheetView>
  </sheetViews>
  <sheetFormatPr defaultRowHeight="23.1" x14ac:dyDescent="0.8"/>
  <cols>
    <col min="2" max="2" width="9" customWidth="1"/>
    <col min="3" max="3" width="11.765625" customWidth="1"/>
    <col min="4" max="4" width="13.59765625" customWidth="1"/>
    <col min="5" max="5" width="12.6640625" style="4" customWidth="1"/>
    <col min="7" max="8" width="11.03125" style="4" bestFit="1" customWidth="1"/>
    <col min="9" max="9" width="11.03125" style="4" customWidth="1"/>
    <col min="10" max="10" width="13.36328125" style="1" customWidth="1"/>
    <col min="11" max="11" width="12.6640625" style="1" customWidth="1"/>
    <col min="12" max="12" width="13.23046875" customWidth="1"/>
    <col min="13" max="13" width="16.56640625" style="4" customWidth="1"/>
    <col min="14" max="14" width="14.03125" style="4" customWidth="1"/>
    <col min="15" max="15" width="20.03125" style="4" customWidth="1"/>
    <col min="19" max="19" width="12.6640625" style="4" customWidth="1"/>
  </cols>
  <sheetData>
    <row r="1" spans="1:23" x14ac:dyDescent="0.8">
      <c r="A1" t="s">
        <v>0</v>
      </c>
      <c r="B1" t="s">
        <v>1</v>
      </c>
      <c r="C1" t="s">
        <v>2</v>
      </c>
      <c r="D1" t="s">
        <v>3</v>
      </c>
      <c r="E1" s="8" t="s">
        <v>4</v>
      </c>
      <c r="F1" s="9" t="s">
        <v>15</v>
      </c>
      <c r="G1" s="9" t="s">
        <v>16</v>
      </c>
      <c r="H1" s="9" t="s">
        <v>42</v>
      </c>
      <c r="I1" s="6" t="s">
        <v>13</v>
      </c>
      <c r="J1" s="6" t="s">
        <v>14</v>
      </c>
      <c r="K1" s="7" t="s">
        <v>12</v>
      </c>
      <c r="L1" s="10" t="s">
        <v>9</v>
      </c>
      <c r="M1" s="10" t="s">
        <v>10</v>
      </c>
      <c r="N1" s="10" t="s">
        <v>11</v>
      </c>
      <c r="O1" s="11" t="s">
        <v>25</v>
      </c>
      <c r="P1" s="11" t="s">
        <v>26</v>
      </c>
      <c r="Q1" s="11" t="s">
        <v>27</v>
      </c>
      <c r="R1" t="s">
        <v>36</v>
      </c>
      <c r="S1" t="s">
        <v>37</v>
      </c>
      <c r="T1" t="s">
        <v>38</v>
      </c>
      <c r="U1" t="s">
        <v>39</v>
      </c>
      <c r="V1" t="s">
        <v>40</v>
      </c>
      <c r="W1" t="s">
        <v>41</v>
      </c>
    </row>
    <row r="2" spans="1:23" x14ac:dyDescent="0.8">
      <c r="A2">
        <v>1998</v>
      </c>
      <c r="B2">
        <v>436533.4</v>
      </c>
      <c r="C2">
        <v>162</v>
      </c>
      <c r="E2" s="4">
        <v>12069.773999999999</v>
      </c>
      <c r="F2" s="4">
        <f>'Fiscal Gap'!B2</f>
        <v>31241.142268420001</v>
      </c>
      <c r="G2" s="4">
        <f>'Fiscal Gap'!C2</f>
        <v>32028.331688760001</v>
      </c>
      <c r="H2" s="4">
        <f>Table1[[#This Row],[revenue_nominal]]-Table1[[#This Row],[expenditure_nominal]]</f>
        <v>787.18942034000065</v>
      </c>
      <c r="I2" s="1">
        <f>'Fiscal Gap'!B2/(Table1[[#This Row],[ILNGSP]])</f>
        <v>7.1566442037241593E-2</v>
      </c>
      <c r="J2" s="1">
        <f>'Fiscal Gap'!C2/Table1[[#This Row],[ILNGSP]]</f>
        <v>7.3369716243384814E-2</v>
      </c>
      <c r="K2" s="2">
        <f>Table1[[#This Row],[revenue_share_gsp]]-Table1[[#This Row],[expenditure_share_gsp]]</f>
        <v>1.8032742061432211E-3</v>
      </c>
      <c r="L2" s="4">
        <f>'Fiscal Gap'!B2*($C$29/Table1[[#This Row],[CPIAUCSL]])</f>
        <v>61534.636554697929</v>
      </c>
      <c r="M2" s="4">
        <f>'Fiscal Gap'!C2*($C$29/Table1[[#This Row],[CPIAUCSL]])</f>
        <v>63085.137316294284</v>
      </c>
      <c r="N2" s="4">
        <f>Table1[[#This Row],[revenue_adjusted_cpi]]-Table1[[#This Row],[expenditure_adjusted_cpi]]</f>
        <v>1550.500761596355</v>
      </c>
      <c r="O2" s="4">
        <f>Table1[[#This Row],[expenditure_nominal]]/Table1[[#This Row],[ILPOP]]*1000</f>
        <v>2588.3783961837235</v>
      </c>
      <c r="P2" s="4">
        <f>Table1[[#This Row],[revenue_nominal]]/Table1[[#This Row],[ILPOP]]*1000</f>
        <v>2653.5982934527196</v>
      </c>
      <c r="Q2" s="4">
        <f>Table1[[#This Row],[nominal_rev_perperson]]-Table1[[#This Row],[nominal_exp_perperson]]</f>
        <v>65.219897268996192</v>
      </c>
      <c r="R2">
        <v>55.563000000000002</v>
      </c>
      <c r="S2" s="4">
        <f>Table1[[#This Row],[expenditure_nominal]]*($R$29/Table1[[#This Row],[A829RD3Q086SBEA]])</f>
        <v>74298.288078240686</v>
      </c>
      <c r="T2" s="4">
        <f>Table1[[#This Row],[revenue_nominal]]*($R$29/Table1[[#This Row],[A829RD3Q086SBEA]])</f>
        <v>76170.397165099712</v>
      </c>
      <c r="U2" s="4">
        <f>Table1[[#This Row],[rev_adj_sbea]]-Table1[[#This Row],[exp_adj_sbea]]</f>
        <v>1872.1090868590254</v>
      </c>
      <c r="V2" s="4"/>
      <c r="W2" s="4"/>
    </row>
    <row r="3" spans="1:23" x14ac:dyDescent="0.8">
      <c r="A3">
        <v>1999</v>
      </c>
      <c r="B3">
        <v>459971.6</v>
      </c>
      <c r="C3">
        <v>164.7</v>
      </c>
      <c r="E3" s="4">
        <v>12128.37</v>
      </c>
      <c r="F3" s="4">
        <f>'Fiscal Gap'!B3</f>
        <v>33845.350926309999</v>
      </c>
      <c r="G3" s="4">
        <f>'Fiscal Gap'!C3</f>
        <v>33963.525296760003</v>
      </c>
      <c r="H3" s="4">
        <f>Table1[[#This Row],[revenue_nominal]]-Table1[[#This Row],[expenditure_nominal]]</f>
        <v>118.17437045000406</v>
      </c>
      <c r="I3" s="1">
        <f>'Fiscal Gap'!B3/(Table1[[#This Row],[ILNGSP]])</f>
        <v>7.3581392691005276E-2</v>
      </c>
      <c r="J3" s="1">
        <f>'Fiscal Gap'!C3/Table1[[#This Row],[ILNGSP]]</f>
        <v>7.3838309358142992E-2</v>
      </c>
      <c r="K3" s="2">
        <f>Table1[[#This Row],[revenue_share_gsp]]-Table1[[#This Row],[expenditure_share_gsp]]</f>
        <v>2.5691666713771599E-4</v>
      </c>
      <c r="L3" s="4">
        <f>'Fiscal Gap'!B3*($C$29/Table1[[#This Row],[CPIAUCSL]])</f>
        <v>65571.206106087149</v>
      </c>
      <c r="M3" s="4">
        <f>'Fiscal Gap'!C3*($C$29/Table1[[#This Row],[CPIAUCSL]])</f>
        <v>65800.154419198327</v>
      </c>
      <c r="N3" s="4">
        <f>Table1[[#This Row],[revenue_adjusted_cpi]]-Table1[[#This Row],[expenditure_adjusted_cpi]]</f>
        <v>228.94831311117741</v>
      </c>
      <c r="O3" s="4">
        <f>Table1[[#This Row],[expenditure_nominal]]/Table1[[#This Row],[ILPOP]]*1000</f>
        <v>2790.593536172626</v>
      </c>
      <c r="P3" s="4">
        <f>Table1[[#This Row],[revenue_nominal]]/Table1[[#This Row],[ILPOP]]*1000</f>
        <v>2800.3371678766393</v>
      </c>
      <c r="Q3" s="4">
        <f>Table1[[#This Row],[nominal_rev_perperson]]-Table1[[#This Row],[nominal_exp_perperson]]</f>
        <v>9.7436317040132963</v>
      </c>
      <c r="R3">
        <v>57.127000000000002</v>
      </c>
      <c r="S3" s="4">
        <f>Table1[[#This Row],[expenditure_nominal]]*($R$29/Table1[[#This Row],[A829RD3Q086SBEA]])</f>
        <v>78287.998962898972</v>
      </c>
      <c r="T3" s="4">
        <f>Table1[[#This Row],[revenue_nominal]]*($R$29/Table1[[#This Row],[A829RD3Q086SBEA]])</f>
        <v>78561.349208590735</v>
      </c>
      <c r="U3" s="4">
        <f>Table1[[#This Row],[rev_adj_sbea]]-Table1[[#This Row],[exp_adj_sbea]]</f>
        <v>273.35024569176312</v>
      </c>
      <c r="V3" s="4"/>
      <c r="W3" s="4"/>
    </row>
    <row r="4" spans="1:23" x14ac:dyDescent="0.8">
      <c r="A4">
        <v>2000</v>
      </c>
      <c r="B4">
        <v>486089.7</v>
      </c>
      <c r="C4">
        <v>169.3</v>
      </c>
      <c r="E4" s="4">
        <v>12434.161</v>
      </c>
      <c r="F4" s="4">
        <f>'Fiscal Gap'!B4</f>
        <v>37340.660437159997</v>
      </c>
      <c r="G4" s="4">
        <f>'Fiscal Gap'!C4</f>
        <v>37041.391645399999</v>
      </c>
      <c r="H4" s="4">
        <f>Table1[[#This Row],[revenue_nominal]]-Table1[[#This Row],[expenditure_nominal]]</f>
        <v>-299.26879175999784</v>
      </c>
      <c r="I4" s="1">
        <f>'Fiscal Gap'!B4/(Table1[[#This Row],[ILNGSP]])</f>
        <v>7.6818456423084047E-2</v>
      </c>
      <c r="J4" s="1">
        <f>'Fiscal Gap'!C4/Table1[[#This Row],[ILNGSP]]</f>
        <v>7.6202790648310384E-2</v>
      </c>
      <c r="K4" s="2">
        <f>Table1[[#This Row],[revenue_share_gsp]]-Table1[[#This Row],[expenditure_share_gsp]]</f>
        <v>-6.1566577477366324E-4</v>
      </c>
      <c r="L4" s="4">
        <f>'Fiscal Gap'!B4*($C$29/Table1[[#This Row],[CPIAUCSL]])</f>
        <v>70377.330042833055</v>
      </c>
      <c r="M4" s="4">
        <f>'Fiscal Gap'!C4*($C$29/Table1[[#This Row],[CPIAUCSL]])</f>
        <v>69813.287032274689</v>
      </c>
      <c r="N4" s="4">
        <f>Table1[[#This Row],[revenue_adjusted_cpi]]-Table1[[#This Row],[expenditure_adjusted_cpi]]</f>
        <v>-564.04301055836549</v>
      </c>
      <c r="O4" s="4">
        <f>Table1[[#This Row],[expenditure_nominal]]/Table1[[#This Row],[ILPOP]]*1000</f>
        <v>3003.0703669640434</v>
      </c>
      <c r="P4" s="4">
        <f>Table1[[#This Row],[revenue_nominal]]/Table1[[#This Row],[ILPOP]]*1000</f>
        <v>2979.0020931368026</v>
      </c>
      <c r="Q4" s="4">
        <f>Table1[[#This Row],[nominal_rev_perperson]]-Table1[[#This Row],[nominal_exp_perperson]]</f>
        <v>-24.068273827240773</v>
      </c>
      <c r="R4">
        <v>60.029000000000003</v>
      </c>
      <c r="S4" s="4">
        <f>Table1[[#This Row],[expenditure_nominal]]*($R$29/Table1[[#This Row],[A829RD3Q086SBEA]])</f>
        <v>82197.47473432438</v>
      </c>
      <c r="T4" s="4">
        <f>Table1[[#This Row],[revenue_nominal]]*($R$29/Table1[[#This Row],[A829RD3Q086SBEA]])</f>
        <v>81538.698519295678</v>
      </c>
      <c r="U4" s="4">
        <f>Table1[[#This Row],[rev_adj_sbea]]-Table1[[#This Row],[exp_adj_sbea]]</f>
        <v>-658.7762150287017</v>
      </c>
      <c r="V4" s="4"/>
      <c r="W4" s="4"/>
    </row>
    <row r="5" spans="1:23" x14ac:dyDescent="0.8">
      <c r="A5">
        <v>2001</v>
      </c>
      <c r="B5">
        <v>499618.4</v>
      </c>
      <c r="C5">
        <v>175.6</v>
      </c>
      <c r="E5" s="4">
        <v>12488.445</v>
      </c>
      <c r="F5" s="4">
        <f>'Fiscal Gap'!B5</f>
        <v>40354.009028469998</v>
      </c>
      <c r="G5" s="4">
        <f>'Fiscal Gap'!C5</f>
        <v>38278.700592430003</v>
      </c>
      <c r="H5" s="4">
        <f>Table1[[#This Row],[revenue_nominal]]-Table1[[#This Row],[expenditure_nominal]]</f>
        <v>-2075.3084360399953</v>
      </c>
      <c r="I5" s="1">
        <f>'Fiscal Gap'!B5/(Table1[[#This Row],[ILNGSP]])</f>
        <v>8.0769661462568226E-2</v>
      </c>
      <c r="J5" s="1">
        <f>'Fiscal Gap'!C5/Table1[[#This Row],[ILNGSP]]</f>
        <v>7.6615874420217514E-2</v>
      </c>
      <c r="K5" s="2">
        <f>Table1[[#This Row],[revenue_share_gsp]]-Table1[[#This Row],[expenditure_share_gsp]]</f>
        <v>-4.1537870423507123E-3</v>
      </c>
      <c r="L5" s="4">
        <f>'Fiscal Gap'!B5*($C$29/Table1[[#This Row],[CPIAUCSL]])</f>
        <v>73328.014378464577</v>
      </c>
      <c r="M5" s="4">
        <f>'Fiscal Gap'!C5*($C$29/Table1[[#This Row],[CPIAUCSL]])</f>
        <v>69556.933127768338</v>
      </c>
      <c r="N5" s="4">
        <f>Table1[[#This Row],[revenue_adjusted_cpi]]-Table1[[#This Row],[expenditure_adjusted_cpi]]</f>
        <v>-3771.0812506962393</v>
      </c>
      <c r="O5" s="4">
        <f>Table1[[#This Row],[expenditure_nominal]]/Table1[[#This Row],[ILPOP]]*1000</f>
        <v>3231.3077431553729</v>
      </c>
      <c r="P5" s="4">
        <f>Table1[[#This Row],[revenue_nominal]]/Table1[[#This Row],[ILPOP]]*1000</f>
        <v>3065.1294530608097</v>
      </c>
      <c r="Q5" s="4">
        <f>Table1[[#This Row],[nominal_rev_perperson]]-Table1[[#This Row],[nominal_exp_perperson]]</f>
        <v>-166.17829009456318</v>
      </c>
      <c r="R5">
        <v>62.83</v>
      </c>
      <c r="S5" s="4">
        <f>Table1[[#This Row],[expenditure_nominal]]*($R$29/Table1[[#This Row],[A829RD3Q086SBEA]])</f>
        <v>84870.589002563313</v>
      </c>
      <c r="T5" s="4">
        <f>Table1[[#This Row],[revenue_nominal]]*($R$29/Table1[[#This Row],[A829RD3Q086SBEA]])</f>
        <v>80505.90124119517</v>
      </c>
      <c r="U5" s="4">
        <f>Table1[[#This Row],[rev_adj_sbea]]-Table1[[#This Row],[exp_adj_sbea]]</f>
        <v>-4364.6877613681427</v>
      </c>
      <c r="V5" s="4"/>
      <c r="W5" s="4"/>
    </row>
    <row r="6" spans="1:23" x14ac:dyDescent="0.8">
      <c r="A6">
        <v>2002</v>
      </c>
      <c r="B6">
        <v>511485.9</v>
      </c>
      <c r="C6">
        <v>177.7</v>
      </c>
      <c r="E6" s="4">
        <v>12525.556</v>
      </c>
      <c r="F6" s="4">
        <f>'Fiscal Gap'!B6</f>
        <v>42063.830838349997</v>
      </c>
      <c r="G6" s="4">
        <f>'Fiscal Gap'!C6</f>
        <v>37919.379338059996</v>
      </c>
      <c r="H6" s="4">
        <f>Table1[[#This Row],[revenue_nominal]]-Table1[[#This Row],[expenditure_nominal]]</f>
        <v>-4144.4515002900007</v>
      </c>
      <c r="I6" s="1">
        <f>'Fiscal Gap'!B6/(Table1[[#This Row],[ILNGSP]])</f>
        <v>8.2238495407889051E-2</v>
      </c>
      <c r="J6" s="1">
        <f>'Fiscal Gap'!C6/Table1[[#This Row],[ILNGSP]]</f>
        <v>7.4135727569538068E-2</v>
      </c>
      <c r="K6" s="2">
        <f>Table1[[#This Row],[revenue_share_gsp]]-Table1[[#This Row],[expenditure_share_gsp]]</f>
        <v>-8.1027678383509827E-3</v>
      </c>
      <c r="L6" s="4">
        <f>'Fiscal Gap'!B6*($C$29/Table1[[#This Row],[CPIAUCSL]])</f>
        <v>75531.679948709905</v>
      </c>
      <c r="M6" s="4">
        <f>'Fiscal Gap'!C6*($C$29/Table1[[#This Row],[CPIAUCSL]])</f>
        <v>68089.719051571272</v>
      </c>
      <c r="N6" s="4">
        <f>Table1[[#This Row],[revenue_adjusted_cpi]]-Table1[[#This Row],[expenditure_adjusted_cpi]]</f>
        <v>-7441.9608971386333</v>
      </c>
      <c r="O6" s="4">
        <f>Table1[[#This Row],[expenditure_nominal]]/Table1[[#This Row],[ILPOP]]*1000</f>
        <v>3358.2406113030029</v>
      </c>
      <c r="P6" s="4">
        <f>Table1[[#This Row],[revenue_nominal]]/Table1[[#This Row],[ILPOP]]*1000</f>
        <v>3027.3609680927534</v>
      </c>
      <c r="Q6" s="4">
        <f>Table1[[#This Row],[nominal_rev_perperson]]-Table1[[#This Row],[nominal_exp_perperson]]</f>
        <v>-330.87964321024947</v>
      </c>
      <c r="R6">
        <v>63.734000000000002</v>
      </c>
      <c r="S6" s="4">
        <f>Table1[[#This Row],[expenditure_nominal]]*($R$29/Table1[[#This Row],[A829RD3Q086SBEA]])</f>
        <v>87211.797012746843</v>
      </c>
      <c r="T6" s="4">
        <f>Table1[[#This Row],[revenue_nominal]]*($R$29/Table1[[#This Row],[A829RD3Q086SBEA]])</f>
        <v>78619.021324733825</v>
      </c>
      <c r="U6" s="4">
        <f>Table1[[#This Row],[rev_adj_sbea]]-Table1[[#This Row],[exp_adj_sbea]]</f>
        <v>-8592.7756880130182</v>
      </c>
      <c r="V6" s="4"/>
      <c r="W6" s="4"/>
    </row>
    <row r="7" spans="1:23" x14ac:dyDescent="0.8">
      <c r="A7">
        <v>2003</v>
      </c>
      <c r="B7">
        <v>528577</v>
      </c>
      <c r="C7">
        <v>182.6</v>
      </c>
      <c r="E7" s="4">
        <v>12556.005999999999</v>
      </c>
      <c r="F7" s="4">
        <f>'Fiscal Gap'!B7</f>
        <v>42608.364008709999</v>
      </c>
      <c r="G7" s="4">
        <f>'Fiscal Gap'!C7</f>
        <v>38449.20157148</v>
      </c>
      <c r="H7" s="4">
        <f>Table1[[#This Row],[revenue_nominal]]-Table1[[#This Row],[expenditure_nominal]]</f>
        <v>-4159.1624372299993</v>
      </c>
      <c r="I7" s="1">
        <f>'Fiscal Gap'!B7/(Table1[[#This Row],[ILNGSP]])</f>
        <v>8.0609568726429645E-2</v>
      </c>
      <c r="J7" s="1">
        <f>'Fiscal Gap'!C7/Table1[[#This Row],[ILNGSP]]</f>
        <v>7.2740965973699195E-2</v>
      </c>
      <c r="K7" s="2">
        <f>Table1[[#This Row],[revenue_share_gsp]]-Table1[[#This Row],[expenditure_share_gsp]]</f>
        <v>-7.8686027527304497E-3</v>
      </c>
      <c r="L7" s="4">
        <f>'Fiscal Gap'!B7*($C$29/Table1[[#This Row],[CPIAUCSL]])</f>
        <v>74456.366035505154</v>
      </c>
      <c r="M7" s="4">
        <f>'Fiscal Gap'!C7*($C$29/Table1[[#This Row],[CPIAUCSL]])</f>
        <v>67188.400507323488</v>
      </c>
      <c r="N7" s="4">
        <f>Table1[[#This Row],[revenue_adjusted_cpi]]-Table1[[#This Row],[expenditure_adjusted_cpi]]</f>
        <v>-7267.9655281816667</v>
      </c>
      <c r="O7" s="4">
        <f>Table1[[#This Row],[expenditure_nominal]]/Table1[[#This Row],[ILPOP]]*1000</f>
        <v>3393.4647696656089</v>
      </c>
      <c r="P7" s="4">
        <f>Table1[[#This Row],[revenue_nominal]]/Table1[[#This Row],[ILPOP]]*1000</f>
        <v>3062.2159284950967</v>
      </c>
      <c r="Q7" s="4">
        <f>Table1[[#This Row],[nominal_rev_perperson]]-Table1[[#This Row],[nominal_exp_perperson]]</f>
        <v>-331.24884117051215</v>
      </c>
      <c r="R7">
        <v>66.256</v>
      </c>
      <c r="S7" s="4">
        <f>Table1[[#This Row],[expenditure_nominal]]*($R$29/Table1[[#This Row],[A829RD3Q086SBEA]])</f>
        <v>84978.142786690223</v>
      </c>
      <c r="T7" s="4">
        <f>Table1[[#This Row],[revenue_nominal]]*($R$29/Table1[[#This Row],[A829RD3Q086SBEA]])</f>
        <v>76683.10711266812</v>
      </c>
      <c r="U7" s="4">
        <f>Table1[[#This Row],[rev_adj_sbea]]-Table1[[#This Row],[exp_adj_sbea]]</f>
        <v>-8295.0356740221032</v>
      </c>
      <c r="V7" s="4"/>
      <c r="W7" s="4"/>
    </row>
    <row r="8" spans="1:23" x14ac:dyDescent="0.8">
      <c r="A8">
        <v>2004</v>
      </c>
      <c r="B8">
        <v>560079.80000000005</v>
      </c>
      <c r="C8">
        <v>186.3</v>
      </c>
      <c r="E8" s="4">
        <v>12589.772999999999</v>
      </c>
      <c r="F8" s="4">
        <f>'Fiscal Gap'!B8</f>
        <v>53019.315220620003</v>
      </c>
      <c r="G8" s="4">
        <f>'Fiscal Gap'!C8</f>
        <v>42605.136041489997</v>
      </c>
      <c r="H8" s="4">
        <f>Table1[[#This Row],[revenue_nominal]]-Table1[[#This Row],[expenditure_nominal]]</f>
        <v>-10414.179179130006</v>
      </c>
      <c r="I8" s="1">
        <f>'Fiscal Gap'!B8/(Table1[[#This Row],[ILNGSP]])</f>
        <v>9.4663859008341303E-2</v>
      </c>
      <c r="J8" s="1">
        <f>'Fiscal Gap'!C8/Table1[[#This Row],[ILNGSP]]</f>
        <v>7.6069760133270284E-2</v>
      </c>
      <c r="K8" s="2">
        <f>Table1[[#This Row],[revenue_share_gsp]]-Table1[[#This Row],[expenditure_share_gsp]]</f>
        <v>-1.8594098875071019E-2</v>
      </c>
      <c r="L8" s="4">
        <f>'Fiscal Gap'!B8*($C$29/Table1[[#This Row],[CPIAUCSL]])</f>
        <v>90809.024243085092</v>
      </c>
      <c r="M8" s="4">
        <f>'Fiscal Gap'!C8*($C$29/Table1[[#This Row],[CPIAUCSL]])</f>
        <v>72972.101121496918</v>
      </c>
      <c r="N8" s="4">
        <f>Table1[[#This Row],[revenue_adjusted_cpi]]-Table1[[#This Row],[expenditure_adjusted_cpi]]</f>
        <v>-17836.923121588174</v>
      </c>
      <c r="O8" s="4">
        <f>Table1[[#This Row],[expenditure_nominal]]/Table1[[#This Row],[ILPOP]]*1000</f>
        <v>4211.3003324698548</v>
      </c>
      <c r="P8" s="4">
        <f>Table1[[#This Row],[revenue_nominal]]/Table1[[#This Row],[ILPOP]]*1000</f>
        <v>3384.1067699544701</v>
      </c>
      <c r="Q8" s="4">
        <f>Table1[[#This Row],[nominal_rev_perperson]]-Table1[[#This Row],[nominal_exp_perperson]]</f>
        <v>-827.19356251538466</v>
      </c>
      <c r="R8">
        <v>68.132000000000005</v>
      </c>
      <c r="S8" s="4">
        <f>Table1[[#This Row],[expenditure_nominal]]*($R$29/Table1[[#This Row],[A829RD3Q086SBEA]])</f>
        <v>102830.1727905822</v>
      </c>
      <c r="T8" s="4">
        <f>Table1[[#This Row],[revenue_nominal]]*($R$29/Table1[[#This Row],[A829RD3Q086SBEA]])</f>
        <v>82632.027265580473</v>
      </c>
      <c r="U8" s="4">
        <f>Table1[[#This Row],[rev_adj_sbea]]-Table1[[#This Row],[exp_adj_sbea]]</f>
        <v>-20198.145525001732</v>
      </c>
      <c r="V8" s="4"/>
      <c r="W8" s="4"/>
    </row>
    <row r="9" spans="1:23" x14ac:dyDescent="0.8">
      <c r="A9">
        <v>2005</v>
      </c>
      <c r="B9">
        <v>589153.69999999995</v>
      </c>
      <c r="C9">
        <v>191.6</v>
      </c>
      <c r="E9" s="4">
        <v>12609.903</v>
      </c>
      <c r="F9" s="4">
        <f>'Fiscal Gap'!B9</f>
        <v>45358.950389769998</v>
      </c>
      <c r="G9" s="4">
        <f>'Fiscal Gap'!C9</f>
        <v>44301.935573369999</v>
      </c>
      <c r="H9" s="4">
        <f>Table1[[#This Row],[revenue_nominal]]-Table1[[#This Row],[expenditure_nominal]]</f>
        <v>-1057.0148163999984</v>
      </c>
      <c r="I9" s="1">
        <f>'Fiscal Gap'!B9/(Table1[[#This Row],[ILNGSP]])</f>
        <v>7.6990011926887675E-2</v>
      </c>
      <c r="J9" s="1">
        <f>'Fiscal Gap'!C9/Table1[[#This Row],[ILNGSP]]</f>
        <v>7.5195887886930018E-2</v>
      </c>
      <c r="K9" s="2">
        <f>Table1[[#This Row],[revenue_share_gsp]]-Table1[[#This Row],[expenditure_share_gsp]]</f>
        <v>-1.7941240399576563E-3</v>
      </c>
      <c r="L9" s="4">
        <f>'Fiscal Gap'!B9*($C$29/Table1[[#This Row],[CPIAUCSL]])</f>
        <v>75539.697516023749</v>
      </c>
      <c r="M9" s="4">
        <f>'Fiscal Gap'!C9*($C$29/Table1[[#This Row],[CPIAUCSL]])</f>
        <v>73779.370638644788</v>
      </c>
      <c r="N9" s="4">
        <f>Table1[[#This Row],[revenue_adjusted_cpi]]-Table1[[#This Row],[expenditure_adjusted_cpi]]</f>
        <v>-1760.3268773789605</v>
      </c>
      <c r="O9" s="4">
        <f>Table1[[#This Row],[expenditure_nominal]]/Table1[[#This Row],[ILPOP]]*1000</f>
        <v>3597.0895564993639</v>
      </c>
      <c r="P9" s="4">
        <f>Table1[[#This Row],[revenue_nominal]]/Table1[[#This Row],[ILPOP]]*1000</f>
        <v>3513.2653735219055</v>
      </c>
      <c r="Q9" s="4">
        <f>Table1[[#This Row],[nominal_rev_perperson]]-Table1[[#This Row],[nominal_exp_perperson]]</f>
        <v>-83.824182977458349</v>
      </c>
      <c r="R9">
        <v>72.087000000000003</v>
      </c>
      <c r="S9" s="4">
        <f>Table1[[#This Row],[expenditure_nominal]]*($R$29/Table1[[#This Row],[A829RD3Q086SBEA]])</f>
        <v>83146.435050072774</v>
      </c>
      <c r="T9" s="4">
        <f>Table1[[#This Row],[revenue_nominal]]*($R$29/Table1[[#This Row],[A829RD3Q086SBEA]])</f>
        <v>81208.845819644106</v>
      </c>
      <c r="U9" s="4">
        <f>Table1[[#This Row],[rev_adj_sbea]]-Table1[[#This Row],[exp_adj_sbea]]</f>
        <v>-1937.5892304286681</v>
      </c>
      <c r="V9" s="4"/>
      <c r="W9" s="4"/>
    </row>
    <row r="10" spans="1:23" x14ac:dyDescent="0.8">
      <c r="A10">
        <v>2006</v>
      </c>
      <c r="B10">
        <v>624068.1</v>
      </c>
      <c r="C10">
        <v>199.3</v>
      </c>
      <c r="E10" s="4">
        <v>12643.955</v>
      </c>
      <c r="F10" s="4">
        <f>'Fiscal Gap'!B10</f>
        <v>48059.471020739998</v>
      </c>
      <c r="G10" s="4">
        <f>'Fiscal Gap'!C10</f>
        <v>46165.60639026</v>
      </c>
      <c r="H10" s="4">
        <f>Table1[[#This Row],[revenue_nominal]]-Table1[[#This Row],[expenditure_nominal]]</f>
        <v>-1893.8646304799986</v>
      </c>
      <c r="I10" s="1">
        <f>'Fiscal Gap'!B10/(Table1[[#This Row],[ILNGSP]])</f>
        <v>7.7009978591663308E-2</v>
      </c>
      <c r="J10" s="1">
        <f>'Fiscal Gap'!C10/Table1[[#This Row],[ILNGSP]]</f>
        <v>7.39752703114612E-2</v>
      </c>
      <c r="K10" s="2">
        <f>Table1[[#This Row],[revenue_share_gsp]]-Table1[[#This Row],[expenditure_share_gsp]]</f>
        <v>-3.0347082802021086E-3</v>
      </c>
      <c r="L10" s="4">
        <f>'Fiscal Gap'!B10*($C$29/Table1[[#This Row],[CPIAUCSL]])</f>
        <v>76944.828751248584</v>
      </c>
      <c r="M10" s="4">
        <f>'Fiscal Gap'!C10*($C$29/Table1[[#This Row],[CPIAUCSL]])</f>
        <v>73912.687810549425</v>
      </c>
      <c r="N10" s="4">
        <f>Table1[[#This Row],[revenue_adjusted_cpi]]-Table1[[#This Row],[expenditure_adjusted_cpi]]</f>
        <v>-3032.1409406991588</v>
      </c>
      <c r="O10" s="4">
        <f>Table1[[#This Row],[expenditure_nominal]]/Table1[[#This Row],[ILPOP]]*1000</f>
        <v>3800.984029185488</v>
      </c>
      <c r="P10" s="4">
        <f>Table1[[#This Row],[revenue_nominal]]/Table1[[#This Row],[ILPOP]]*1000</f>
        <v>3651.1998334587556</v>
      </c>
      <c r="Q10" s="4">
        <f>Table1[[#This Row],[nominal_rev_perperson]]-Table1[[#This Row],[nominal_exp_perperson]]</f>
        <v>-149.78419572673238</v>
      </c>
      <c r="R10">
        <v>75.926000000000002</v>
      </c>
      <c r="S10" s="4">
        <f>Table1[[#This Row],[expenditure_nominal]]*($R$29/Table1[[#This Row],[A829RD3Q086SBEA]])</f>
        <v>83642.316994858193</v>
      </c>
      <c r="T10" s="4">
        <f>Table1[[#This Row],[revenue_nominal]]*($R$29/Table1[[#This Row],[A829RD3Q086SBEA]])</f>
        <v>80346.250217518973</v>
      </c>
      <c r="U10" s="4">
        <f>Table1[[#This Row],[rev_adj_sbea]]-Table1[[#This Row],[exp_adj_sbea]]</f>
        <v>-3296.0667773392197</v>
      </c>
      <c r="V10" s="4"/>
      <c r="W10" s="4"/>
    </row>
    <row r="11" spans="1:23" x14ac:dyDescent="0.8">
      <c r="A11">
        <v>2007</v>
      </c>
      <c r="B11">
        <v>649307.4</v>
      </c>
      <c r="C11">
        <v>203.43700000000001</v>
      </c>
      <c r="E11" s="4">
        <v>12695.866</v>
      </c>
      <c r="F11" s="4">
        <f>'Fiscal Gap'!B11</f>
        <v>51127.60051199</v>
      </c>
      <c r="G11" s="4">
        <f>'Fiscal Gap'!C11</f>
        <v>49489.71073287</v>
      </c>
      <c r="H11" s="4">
        <f>Table1[[#This Row],[revenue_nominal]]-Table1[[#This Row],[expenditure_nominal]]</f>
        <v>-1637.8897791199997</v>
      </c>
      <c r="I11" s="1">
        <f>'Fiscal Gap'!B11/(Table1[[#This Row],[ILNGSP]])</f>
        <v>7.8741749303935238E-2</v>
      </c>
      <c r="J11" s="1">
        <f>'Fiscal Gap'!C11/Table1[[#This Row],[ILNGSP]]</f>
        <v>7.6219231034283602E-2</v>
      </c>
      <c r="K11" s="2">
        <f>Table1[[#This Row],[revenue_share_gsp]]-Table1[[#This Row],[expenditure_share_gsp]]</f>
        <v>-2.5225182696516357E-3</v>
      </c>
      <c r="L11" s="4">
        <f>'Fiscal Gap'!B11*($C$29/Table1[[#This Row],[CPIAUCSL]])</f>
        <v>80192.401269035821</v>
      </c>
      <c r="M11" s="4">
        <f>'Fiscal Gap'!C11*($C$29/Table1[[#This Row],[CPIAUCSL]])</f>
        <v>77623.410878594135</v>
      </c>
      <c r="N11" s="4">
        <f>Table1[[#This Row],[revenue_adjusted_cpi]]-Table1[[#This Row],[expenditure_adjusted_cpi]]</f>
        <v>-2568.990390441686</v>
      </c>
      <c r="O11" s="4">
        <f>Table1[[#This Row],[expenditure_nominal]]/Table1[[#This Row],[ILPOP]]*1000</f>
        <v>4027.1061865326869</v>
      </c>
      <c r="P11" s="4">
        <f>Table1[[#This Row],[revenue_nominal]]/Table1[[#This Row],[ILPOP]]*1000</f>
        <v>3898.0964932104671</v>
      </c>
      <c r="Q11" s="4">
        <f>Table1[[#This Row],[nominal_rev_perperson]]-Table1[[#This Row],[nominal_exp_perperson]]</f>
        <v>-129.00969332221985</v>
      </c>
      <c r="R11">
        <v>80.209000000000003</v>
      </c>
      <c r="S11" s="4">
        <f>Table1[[#This Row],[expenditure_nominal]]*($R$29/Table1[[#This Row],[A829RD3Q086SBEA]])</f>
        <v>84230.600796106053</v>
      </c>
      <c r="T11" s="4">
        <f>Table1[[#This Row],[revenue_nominal]]*($R$29/Table1[[#This Row],[A829RD3Q086SBEA]])</f>
        <v>81532.245333468498</v>
      </c>
      <c r="U11" s="4">
        <f>Table1[[#This Row],[rev_adj_sbea]]-Table1[[#This Row],[exp_adj_sbea]]</f>
        <v>-2698.3554626375553</v>
      </c>
      <c r="V11" s="4"/>
      <c r="W11" s="4"/>
    </row>
    <row r="12" spans="1:23" x14ac:dyDescent="0.8">
      <c r="A12">
        <v>2008</v>
      </c>
      <c r="B12">
        <v>649677.30000000005</v>
      </c>
      <c r="C12">
        <v>212.17400000000001</v>
      </c>
      <c r="E12" s="4">
        <v>12747.038</v>
      </c>
      <c r="F12" s="4">
        <f>'Fiscal Gap'!B12</f>
        <v>54169.864453100003</v>
      </c>
      <c r="G12" s="4">
        <f>'Fiscal Gap'!C12</f>
        <v>51636.908789779998</v>
      </c>
      <c r="H12" s="4">
        <f>Table1[[#This Row],[revenue_nominal]]-Table1[[#This Row],[expenditure_nominal]]</f>
        <v>-2532.9556633200045</v>
      </c>
      <c r="I12" s="1">
        <f>'Fiscal Gap'!B12/(Table1[[#This Row],[ILNGSP]])</f>
        <v>8.3379647792988912E-2</v>
      </c>
      <c r="J12" s="1">
        <f>'Fiscal Gap'!C12/Table1[[#This Row],[ILNGSP]]</f>
        <v>7.9480857326829787E-2</v>
      </c>
      <c r="K12" s="2">
        <f>Table1[[#This Row],[revenue_share_gsp]]-Table1[[#This Row],[expenditure_share_gsp]]</f>
        <v>-3.8987904661591244E-3</v>
      </c>
      <c r="L12" s="4">
        <f>'Fiscal Gap'!B12*($C$29/Table1[[#This Row],[CPIAUCSL]])</f>
        <v>81465.426342916049</v>
      </c>
      <c r="M12" s="4">
        <f>'Fiscal Gap'!C12*($C$29/Table1[[#This Row],[CPIAUCSL]])</f>
        <v>77656.143910638159</v>
      </c>
      <c r="N12" s="4">
        <f>Table1[[#This Row],[revenue_adjusted_cpi]]-Table1[[#This Row],[expenditure_adjusted_cpi]]</f>
        <v>-3809.2824322778906</v>
      </c>
      <c r="O12" s="4">
        <f>Table1[[#This Row],[expenditure_nominal]]/Table1[[#This Row],[ILPOP]]*1000</f>
        <v>4249.6040612022962</v>
      </c>
      <c r="P12" s="4">
        <f>Table1[[#This Row],[revenue_nominal]]/Table1[[#This Row],[ILPOP]]*1000</f>
        <v>4050.8947090123993</v>
      </c>
      <c r="Q12" s="4">
        <f>Table1[[#This Row],[nominal_rev_perperson]]-Table1[[#This Row],[nominal_exp_perperson]]</f>
        <v>-198.70935218989689</v>
      </c>
      <c r="R12">
        <v>84.483999999999995</v>
      </c>
      <c r="S12" s="4">
        <f>Table1[[#This Row],[expenditure_nominal]]*($R$29/Table1[[#This Row],[A829RD3Q086SBEA]])</f>
        <v>84726.81287222536</v>
      </c>
      <c r="T12" s="4">
        <f>Table1[[#This Row],[revenue_nominal]]*($R$29/Table1[[#This Row],[A829RD3Q086SBEA]])</f>
        <v>80765.029643368194</v>
      </c>
      <c r="U12" s="4">
        <f>Table1[[#This Row],[rev_adj_sbea]]-Table1[[#This Row],[exp_adj_sbea]]</f>
        <v>-3961.7832288571663</v>
      </c>
      <c r="V12" s="4"/>
      <c r="W12" s="4"/>
    </row>
    <row r="13" spans="1:23" x14ac:dyDescent="0.8">
      <c r="A13">
        <v>2009</v>
      </c>
      <c r="B13">
        <v>645843.19999999995</v>
      </c>
      <c r="C13">
        <v>211.93299999999999</v>
      </c>
      <c r="E13" s="4">
        <v>12796.778</v>
      </c>
      <c r="F13" s="4">
        <f>'Fiscal Gap'!B13</f>
        <v>56749.683344309997</v>
      </c>
      <c r="G13" s="4">
        <f>'Fiscal Gap'!C13</f>
        <v>51460.958706819998</v>
      </c>
      <c r="H13" s="4">
        <f>Table1[[#This Row],[revenue_nominal]]-Table1[[#This Row],[expenditure_nominal]]</f>
        <v>-5288.7246374899987</v>
      </c>
      <c r="I13" s="1">
        <f>'Fiscal Gap'!B13/(Table1[[#This Row],[ILNGSP]])</f>
        <v>8.7869135022726877E-2</v>
      </c>
      <c r="J13" s="1">
        <f>'Fiscal Gap'!C13/Table1[[#This Row],[ILNGSP]]</f>
        <v>7.9680267140414276E-2</v>
      </c>
      <c r="K13" s="2">
        <f>Table1[[#This Row],[revenue_share_gsp]]-Table1[[#This Row],[expenditure_share_gsp]]</f>
        <v>-8.1888678823126004E-3</v>
      </c>
      <c r="L13" s="4">
        <f>'Fiscal Gap'!B13*($C$29/Table1[[#This Row],[CPIAUCSL]])</f>
        <v>85442.236270908732</v>
      </c>
      <c r="M13" s="4">
        <f>'Fiscal Gap'!C13*($C$29/Table1[[#This Row],[CPIAUCSL]])</f>
        <v>77479.540561990667</v>
      </c>
      <c r="N13" s="4">
        <f>Table1[[#This Row],[revenue_adjusted_cpi]]-Table1[[#This Row],[expenditure_adjusted_cpi]]</f>
        <v>-7962.6957089180651</v>
      </c>
      <c r="O13" s="4">
        <f>Table1[[#This Row],[expenditure_nominal]]/Table1[[#This Row],[ILPOP]]*1000</f>
        <v>4434.6853047157647</v>
      </c>
      <c r="P13" s="4">
        <f>Table1[[#This Row],[revenue_nominal]]/Table1[[#This Row],[ILPOP]]*1000</f>
        <v>4021.3996606661453</v>
      </c>
      <c r="Q13" s="4">
        <f>Table1[[#This Row],[nominal_rev_perperson]]-Table1[[#This Row],[nominal_exp_perperson]]</f>
        <v>-413.28564404961935</v>
      </c>
      <c r="R13">
        <v>84.679000000000002</v>
      </c>
      <c r="S13" s="4">
        <f>Table1[[#This Row],[expenditure_nominal]]*($R$29/Table1[[#This Row],[A829RD3Q086SBEA]])</f>
        <v>88557.492492831356</v>
      </c>
      <c r="T13" s="4">
        <f>Table1[[#This Row],[revenue_nominal]]*($R$29/Table1[[#This Row],[A829RD3Q086SBEA]])</f>
        <v>80304.47388936927</v>
      </c>
      <c r="U13" s="4">
        <f>Table1[[#This Row],[rev_adj_sbea]]-Table1[[#This Row],[exp_adj_sbea]]</f>
        <v>-8253.0186034620856</v>
      </c>
      <c r="V13" s="4"/>
      <c r="W13" s="4"/>
    </row>
    <row r="14" spans="1:23" x14ac:dyDescent="0.8">
      <c r="A14">
        <v>2010</v>
      </c>
      <c r="B14">
        <v>663929</v>
      </c>
      <c r="C14">
        <v>217.488</v>
      </c>
      <c r="E14" s="4">
        <v>12840.545</v>
      </c>
      <c r="F14" s="4">
        <f>'Fiscal Gap'!B14</f>
        <v>58047.799746309996</v>
      </c>
      <c r="G14" s="4">
        <f>'Fiscal Gap'!C14</f>
        <v>51191.541425249998</v>
      </c>
      <c r="H14" s="4">
        <f>Table1[[#This Row],[revenue_nominal]]-Table1[[#This Row],[expenditure_nominal]]</f>
        <v>-6856.2583210599987</v>
      </c>
      <c r="I14" s="1">
        <f>'Fiscal Gap'!B14/(Table1[[#This Row],[ILNGSP]])</f>
        <v>8.7430733928341733E-2</v>
      </c>
      <c r="J14" s="1">
        <f>'Fiscal Gap'!C14/Table1[[#This Row],[ILNGSP]]</f>
        <v>7.7103939465289206E-2</v>
      </c>
      <c r="K14" s="2">
        <f>Table1[[#This Row],[revenue_share_gsp]]-Table1[[#This Row],[expenditure_share_gsp]]</f>
        <v>-1.0326794463052527E-2</v>
      </c>
      <c r="L14" s="4">
        <f>'Fiscal Gap'!B14*($C$29/Table1[[#This Row],[CPIAUCSL]])</f>
        <v>85164.423921554626</v>
      </c>
      <c r="M14" s="4">
        <f>'Fiscal Gap'!C14*($C$29/Table1[[#This Row],[CPIAUCSL]])</f>
        <v>75105.312418236048</v>
      </c>
      <c r="N14" s="4">
        <f>Table1[[#This Row],[revenue_adjusted_cpi]]-Table1[[#This Row],[expenditure_adjusted_cpi]]</f>
        <v>-10059.111503318578</v>
      </c>
      <c r="O14" s="4">
        <f>Table1[[#This Row],[expenditure_nominal]]/Table1[[#This Row],[ILPOP]]*1000</f>
        <v>4520.6647962613733</v>
      </c>
      <c r="P14" s="4">
        <f>Table1[[#This Row],[revenue_nominal]]/Table1[[#This Row],[ILPOP]]*1000</f>
        <v>3986.7109554345238</v>
      </c>
      <c r="Q14" s="4">
        <f>Table1[[#This Row],[nominal_rev_perperson]]-Table1[[#This Row],[nominal_exp_perperson]]</f>
        <v>-533.9538408268495</v>
      </c>
      <c r="R14">
        <v>86.793000000000006</v>
      </c>
      <c r="S14" s="4">
        <f>Table1[[#This Row],[expenditure_nominal]]*($R$29/Table1[[#This Row],[A829RD3Q086SBEA]])</f>
        <v>88376.877239836715</v>
      </c>
      <c r="T14" s="4">
        <f>Table1[[#This Row],[revenue_nominal]]*($R$29/Table1[[#This Row],[A829RD3Q086SBEA]])</f>
        <v>77938.329997510853</v>
      </c>
      <c r="U14" s="4">
        <f>Table1[[#This Row],[rev_adj_sbea]]-Table1[[#This Row],[exp_adj_sbea]]</f>
        <v>-10438.547242325862</v>
      </c>
      <c r="V14" s="4"/>
      <c r="W14" s="4"/>
    </row>
    <row r="15" spans="1:23" x14ac:dyDescent="0.8">
      <c r="A15">
        <v>2011</v>
      </c>
      <c r="B15">
        <v>691805.5</v>
      </c>
      <c r="C15">
        <v>221.18700000000001</v>
      </c>
      <c r="E15" s="4">
        <v>12867.782999999999</v>
      </c>
      <c r="F15" s="4">
        <f>'Fiscal Gap'!B15</f>
        <v>58419.425721690001</v>
      </c>
      <c r="G15" s="4">
        <f>'Fiscal Gap'!C15</f>
        <v>56299.281941729998</v>
      </c>
      <c r="H15" s="4">
        <f>Table1[[#This Row],[revenue_nominal]]-Table1[[#This Row],[expenditure_nominal]]</f>
        <v>-2120.1437799600026</v>
      </c>
      <c r="I15" s="1">
        <f>'Fiscal Gap'!B15/(Table1[[#This Row],[ILNGSP]])</f>
        <v>8.4444870301970718E-2</v>
      </c>
      <c r="J15" s="1">
        <f>'Fiscal Gap'!C15/Table1[[#This Row],[ILNGSP]]</f>
        <v>8.1380217332371593E-2</v>
      </c>
      <c r="K15" s="2">
        <f>Table1[[#This Row],[revenue_share_gsp]]-Table1[[#This Row],[expenditure_share_gsp]]</f>
        <v>-3.0646529695991243E-3</v>
      </c>
      <c r="L15" s="4">
        <f>'Fiscal Gap'!B15*($C$29/Table1[[#This Row],[CPIAUCSL]])</f>
        <v>84276.295061785611</v>
      </c>
      <c r="M15" s="4">
        <f>'Fiscal Gap'!C15*($C$29/Table1[[#This Row],[CPIAUCSL]])</f>
        <v>81217.759984351957</v>
      </c>
      <c r="N15" s="4">
        <f>Table1[[#This Row],[revenue_adjusted_cpi]]-Table1[[#This Row],[expenditure_adjusted_cpi]]</f>
        <v>-3058.5350774336548</v>
      </c>
      <c r="O15" s="4">
        <f>Table1[[#This Row],[expenditure_nominal]]/Table1[[#This Row],[ILPOP]]*1000</f>
        <v>4539.9759788993952</v>
      </c>
      <c r="P15" s="4">
        <f>Table1[[#This Row],[revenue_nominal]]/Table1[[#This Row],[ILPOP]]*1000</f>
        <v>4375.2122600862949</v>
      </c>
      <c r="Q15" s="4">
        <f>Table1[[#This Row],[nominal_rev_perperson]]-Table1[[#This Row],[nominal_exp_perperson]]</f>
        <v>-164.76371881310024</v>
      </c>
      <c r="R15">
        <v>89.48</v>
      </c>
      <c r="S15" s="4">
        <f>Table1[[#This Row],[expenditure_nominal]]*($R$29/Table1[[#This Row],[A829RD3Q086SBEA]])</f>
        <v>86271.807490945881</v>
      </c>
      <c r="T15" s="4">
        <f>Table1[[#This Row],[revenue_nominal]]*($R$29/Table1[[#This Row],[A829RD3Q086SBEA]])</f>
        <v>83140.851755276526</v>
      </c>
      <c r="U15" s="4">
        <f>Table1[[#This Row],[rev_adj_sbea]]-Table1[[#This Row],[exp_adj_sbea]]</f>
        <v>-3130.9557356693549</v>
      </c>
      <c r="V15" s="4"/>
      <c r="W15" s="4"/>
    </row>
    <row r="16" spans="1:23" x14ac:dyDescent="0.8">
      <c r="A16">
        <v>2012</v>
      </c>
      <c r="B16">
        <v>725478</v>
      </c>
      <c r="C16">
        <v>227.84200000000001</v>
      </c>
      <c r="E16" s="4">
        <v>12883.029</v>
      </c>
      <c r="F16" s="4">
        <f>'Fiscal Gap'!B16</f>
        <v>59861.24594565</v>
      </c>
      <c r="G16" s="4">
        <f>'Fiscal Gap'!C16</f>
        <v>58417.847561850002</v>
      </c>
      <c r="H16" s="4">
        <f>Table1[[#This Row],[revenue_nominal]]-Table1[[#This Row],[expenditure_nominal]]</f>
        <v>-1443.3983837999986</v>
      </c>
      <c r="I16" s="1">
        <f>'Fiscal Gap'!B16/(Table1[[#This Row],[ILNGSP]])</f>
        <v>8.2512834221919892E-2</v>
      </c>
      <c r="J16" s="1">
        <f>'Fiscal Gap'!C16/Table1[[#This Row],[ILNGSP]]</f>
        <v>8.0523251651807501E-2</v>
      </c>
      <c r="K16" s="2">
        <f>Table1[[#This Row],[revenue_share_gsp]]-Table1[[#This Row],[expenditure_share_gsp]]</f>
        <v>-1.9895825701123915E-3</v>
      </c>
      <c r="L16" s="4">
        <f>'Fiscal Gap'!B16*($C$29/Table1[[#This Row],[CPIAUCSL]])</f>
        <v>83833.909129193373</v>
      </c>
      <c r="M16" s="4">
        <f>'Fiscal Gap'!C16*($C$29/Table1[[#This Row],[CPIAUCSL]])</f>
        <v>81812.472270786195</v>
      </c>
      <c r="N16" s="4">
        <f>Table1[[#This Row],[revenue_adjusted_cpi]]-Table1[[#This Row],[expenditure_adjusted_cpi]]</f>
        <v>-2021.4368584071781</v>
      </c>
      <c r="O16" s="4">
        <f>Table1[[#This Row],[expenditure_nominal]]/Table1[[#This Row],[ILPOP]]*1000</f>
        <v>4646.5195371096343</v>
      </c>
      <c r="P16" s="4">
        <f>Table1[[#This Row],[revenue_nominal]]/Table1[[#This Row],[ILPOP]]*1000</f>
        <v>4534.4807934415112</v>
      </c>
      <c r="Q16" s="4">
        <f>Table1[[#This Row],[nominal_rev_perperson]]-Table1[[#This Row],[nominal_exp_perperson]]</f>
        <v>-112.03874366812306</v>
      </c>
      <c r="R16">
        <v>92.019000000000005</v>
      </c>
      <c r="S16" s="4">
        <f>Table1[[#This Row],[expenditure_nominal]]*($R$29/Table1[[#This Row],[A829RD3Q086SBEA]])</f>
        <v>85961.865489780757</v>
      </c>
      <c r="T16" s="4">
        <f>Table1[[#This Row],[revenue_nominal]]*($R$29/Table1[[#This Row],[A829RD3Q086SBEA]])</f>
        <v>83889.118493685222</v>
      </c>
      <c r="U16" s="4">
        <f>Table1[[#This Row],[rev_adj_sbea]]-Table1[[#This Row],[exp_adj_sbea]]</f>
        <v>-2072.746996095535</v>
      </c>
      <c r="V16" s="4"/>
      <c r="W16" s="4"/>
    </row>
    <row r="17" spans="1:23" x14ac:dyDescent="0.8">
      <c r="A17">
        <v>2013</v>
      </c>
      <c r="B17">
        <v>742890.9</v>
      </c>
      <c r="C17">
        <v>231.679</v>
      </c>
      <c r="E17" s="4">
        <v>12895.778</v>
      </c>
      <c r="F17" s="4">
        <f>'Fiscal Gap'!B17</f>
        <v>63284.886307699999</v>
      </c>
      <c r="G17" s="4">
        <f>'Fiscal Gap'!C17</f>
        <v>63096.99085794</v>
      </c>
      <c r="H17" s="4">
        <f>Table1[[#This Row],[revenue_nominal]]-Table1[[#This Row],[expenditure_nominal]]</f>
        <v>-187.89544975999888</v>
      </c>
      <c r="I17" s="1">
        <f>'Fiscal Gap'!B17/(Table1[[#This Row],[ILNGSP]])</f>
        <v>8.5187321998021509E-2</v>
      </c>
      <c r="J17" s="1">
        <f>'Fiscal Gap'!C17/Table1[[#This Row],[ILNGSP]]</f>
        <v>8.4934397309133811E-2</v>
      </c>
      <c r="K17" s="2">
        <f>Table1[[#This Row],[revenue_share_gsp]]-Table1[[#This Row],[expenditure_share_gsp]]</f>
        <v>-2.5292468888769848E-4</v>
      </c>
      <c r="L17" s="4">
        <f>'Fiscal Gap'!B17*($C$29/Table1[[#This Row],[CPIAUCSL]])</f>
        <v>87160.775177632677</v>
      </c>
      <c r="M17" s="4">
        <f>'Fiscal Gap'!C17*($C$29/Table1[[#This Row],[CPIAUCSL]])</f>
        <v>86901.991224481477</v>
      </c>
      <c r="N17" s="4">
        <f>Table1[[#This Row],[revenue_adjusted_cpi]]-Table1[[#This Row],[expenditure_adjusted_cpi]]</f>
        <v>-258.78395315119997</v>
      </c>
      <c r="O17" s="4">
        <f>Table1[[#This Row],[expenditure_nominal]]/Table1[[#This Row],[ILPOP]]*1000</f>
        <v>4907.4112711695252</v>
      </c>
      <c r="P17" s="4">
        <f>Table1[[#This Row],[revenue_nominal]]/Table1[[#This Row],[ILPOP]]*1000</f>
        <v>4892.8409637588356</v>
      </c>
      <c r="Q17" s="4">
        <f>Table1[[#This Row],[nominal_rev_perperson]]-Table1[[#This Row],[nominal_exp_perperson]]</f>
        <v>-14.570307410689566</v>
      </c>
      <c r="R17">
        <v>94.775000000000006</v>
      </c>
      <c r="S17" s="4">
        <f>Table1[[#This Row],[expenditure_nominal]]*($R$29/Table1[[#This Row],[A829RD3Q086SBEA]])</f>
        <v>88235.591259148336</v>
      </c>
      <c r="T17" s="4">
        <f>Table1[[#This Row],[revenue_nominal]]*($R$29/Table1[[#This Row],[A829RD3Q086SBEA]])</f>
        <v>87973.616132514348</v>
      </c>
      <c r="U17" s="4">
        <f>Table1[[#This Row],[rev_adj_sbea]]-Table1[[#This Row],[exp_adj_sbea]]</f>
        <v>-261.97512663398811</v>
      </c>
      <c r="V17" s="4"/>
      <c r="W17" s="4"/>
    </row>
    <row r="18" spans="1:23" x14ac:dyDescent="0.8">
      <c r="A18">
        <v>2014</v>
      </c>
      <c r="B18">
        <v>772291.7</v>
      </c>
      <c r="C18">
        <v>235.28800000000001</v>
      </c>
      <c r="E18" s="4">
        <v>12885.092000000001</v>
      </c>
      <c r="F18" s="4">
        <f>'Fiscal Gap'!B18</f>
        <v>66962.793097689995</v>
      </c>
      <c r="G18" s="4">
        <f>'Fiscal Gap'!C18</f>
        <v>65263.785644900003</v>
      </c>
      <c r="H18" s="4">
        <f>Table1[[#This Row],[revenue_nominal]]-Table1[[#This Row],[expenditure_nominal]]</f>
        <v>-1699.0074527899924</v>
      </c>
      <c r="I18" s="1">
        <f>'Fiscal Gap'!B18/(Table1[[#This Row],[ILNGSP]])</f>
        <v>8.6706607228447488E-2</v>
      </c>
      <c r="J18" s="1">
        <f>'Fiscal Gap'!C18/Table1[[#This Row],[ILNGSP]]</f>
        <v>8.4506651625156665E-2</v>
      </c>
      <c r="K18" s="2">
        <f>Table1[[#This Row],[revenue_share_gsp]]-Table1[[#This Row],[expenditure_share_gsp]]</f>
        <v>-2.1999556032908235E-3</v>
      </c>
      <c r="L18" s="4">
        <f>'Fiscal Gap'!B18*($C$29/Table1[[#This Row],[CPIAUCSL]])</f>
        <v>90811.642745781806</v>
      </c>
      <c r="M18" s="4">
        <f>'Fiscal Gap'!C18*($C$29/Table1[[#This Row],[CPIAUCSL]])</f>
        <v>88507.53249757133</v>
      </c>
      <c r="N18" s="4">
        <f>Table1[[#This Row],[revenue_adjusted_cpi]]-Table1[[#This Row],[expenditure_adjusted_cpi]]</f>
        <v>-2304.1102482104761</v>
      </c>
      <c r="O18" s="4">
        <f>Table1[[#This Row],[expenditure_nominal]]/Table1[[#This Row],[ILPOP]]*1000</f>
        <v>5196.9200606165632</v>
      </c>
      <c r="P18" s="4">
        <f>Table1[[#This Row],[revenue_nominal]]/Table1[[#This Row],[ILPOP]]*1000</f>
        <v>5065.0616732034205</v>
      </c>
      <c r="Q18" s="4">
        <f>Table1[[#This Row],[nominal_rev_perperson]]-Table1[[#This Row],[nominal_exp_perperson]]</f>
        <v>-131.85838741314274</v>
      </c>
      <c r="R18">
        <v>97.338999999999999</v>
      </c>
      <c r="S18" s="4">
        <f>Table1[[#This Row],[expenditure_nominal]]*($R$29/Table1[[#This Row],[A829RD3Q086SBEA]])</f>
        <v>90904.266971325502</v>
      </c>
      <c r="T18" s="4">
        <f>Table1[[#This Row],[revenue_nominal]]*($R$29/Table1[[#This Row],[A829RD3Q086SBEA]])</f>
        <v>88597.806623272583</v>
      </c>
      <c r="U18" s="4">
        <f>Table1[[#This Row],[rev_adj_sbea]]-Table1[[#This Row],[exp_adj_sbea]]</f>
        <v>-2306.4603480529186</v>
      </c>
      <c r="V18" s="4"/>
      <c r="W18" s="4"/>
    </row>
    <row r="19" spans="1:23" x14ac:dyDescent="0.8">
      <c r="A19">
        <v>2015</v>
      </c>
      <c r="B19">
        <v>802592</v>
      </c>
      <c r="C19">
        <v>234.74700000000001</v>
      </c>
      <c r="E19" s="4">
        <v>12859.584999999999</v>
      </c>
      <c r="F19" s="4">
        <f>'Fiscal Gap'!B19</f>
        <v>69937.376507930006</v>
      </c>
      <c r="G19" s="4">
        <f>'Fiscal Gap'!C19</f>
        <v>66584.603653209997</v>
      </c>
      <c r="H19" s="4">
        <f>Table1[[#This Row],[revenue_nominal]]-Table1[[#This Row],[expenditure_nominal]]</f>
        <v>-3352.7728547200095</v>
      </c>
      <c r="I19" s="1">
        <f>'Fiscal Gap'!B19/(Table1[[#This Row],[ILNGSP]])</f>
        <v>8.7139389014505506E-2</v>
      </c>
      <c r="J19" s="1">
        <f>'Fiscal Gap'!C19/Table1[[#This Row],[ILNGSP]]</f>
        <v>8.2961957823165441E-2</v>
      </c>
      <c r="K19" s="2">
        <f>Table1[[#This Row],[revenue_share_gsp]]-Table1[[#This Row],[expenditure_share_gsp]]</f>
        <v>-4.1774311913400641E-3</v>
      </c>
      <c r="L19" s="4">
        <f>'Fiscal Gap'!B19*($C$29/Table1[[#This Row],[CPIAUCSL]])</f>
        <v>95064.208362234043</v>
      </c>
      <c r="M19" s="4">
        <f>'Fiscal Gap'!C19*($C$29/Table1[[#This Row],[CPIAUCSL]])</f>
        <v>90506.864161365927</v>
      </c>
      <c r="N19" s="4">
        <f>Table1[[#This Row],[revenue_adjusted_cpi]]-Table1[[#This Row],[expenditure_adjusted_cpi]]</f>
        <v>-4557.3442008681159</v>
      </c>
      <c r="O19" s="4">
        <f>Table1[[#This Row],[expenditure_nominal]]/Table1[[#This Row],[ILPOP]]*1000</f>
        <v>5438.540707801224</v>
      </c>
      <c r="P19" s="4">
        <f>Table1[[#This Row],[revenue_nominal]]/Table1[[#This Row],[ILPOP]]*1000</f>
        <v>5177.8190084057924</v>
      </c>
      <c r="Q19" s="4">
        <f>Table1[[#This Row],[nominal_rev_perperson]]-Table1[[#This Row],[nominal_exp_perperson]]</f>
        <v>-260.72169939543164</v>
      </c>
      <c r="R19">
        <v>97.171999999999997</v>
      </c>
      <c r="S19" s="4">
        <f>Table1[[#This Row],[expenditure_nominal]]*($R$29/Table1[[#This Row],[A829RD3Q086SBEA]])</f>
        <v>95105.533169373666</v>
      </c>
      <c r="T19" s="4">
        <f>Table1[[#This Row],[revenue_nominal]]*($R$29/Table1[[#This Row],[A829RD3Q086SBEA]])</f>
        <v>90546.207872008614</v>
      </c>
      <c r="U19" s="4">
        <f>Table1[[#This Row],[rev_adj_sbea]]-Table1[[#This Row],[exp_adj_sbea]]</f>
        <v>-4559.3252973650524</v>
      </c>
      <c r="V19" s="4"/>
      <c r="W19" s="4"/>
    </row>
    <row r="20" spans="1:23" x14ac:dyDescent="0.8">
      <c r="A20">
        <v>2016</v>
      </c>
      <c r="B20">
        <v>813561.6</v>
      </c>
      <c r="C20">
        <v>237.65199999999999</v>
      </c>
      <c r="D20">
        <v>98.4</v>
      </c>
      <c r="E20" s="4">
        <v>12821.709000000001</v>
      </c>
      <c r="F20" s="4">
        <f>'Fiscal Gap'!B20</f>
        <v>63928.130405210002</v>
      </c>
      <c r="G20" s="4">
        <f>'Fiscal Gap'!C20</f>
        <v>64148.84226677</v>
      </c>
      <c r="H20" s="4">
        <f>Table1[[#This Row],[revenue_nominal]]-Table1[[#This Row],[expenditure_nominal]]</f>
        <v>220.71186155999749</v>
      </c>
      <c r="I20" s="1">
        <f>'Fiscal Gap'!B20/(Table1[[#This Row],[ILNGSP]])</f>
        <v>7.8578106937704534E-2</v>
      </c>
      <c r="J20" s="1">
        <f>'Fiscal Gap'!C20/Table1[[#This Row],[ILNGSP]]</f>
        <v>7.884939784125751E-2</v>
      </c>
      <c r="K20" s="2">
        <f>Table1[[#This Row],[revenue_share_gsp]]-Table1[[#This Row],[expenditure_share_gsp]]</f>
        <v>2.7129090355297591E-4</v>
      </c>
      <c r="L20" s="4">
        <f>'Fiscal Gap'!B20*($C$29/Table1[[#This Row],[CPIAUCSL]])</f>
        <v>85833.788137599695</v>
      </c>
      <c r="M20" s="4">
        <f>'Fiscal Gap'!C20*($C$29/Table1[[#This Row],[CPIAUCSL]])</f>
        <v>86130.129279511952</v>
      </c>
      <c r="N20" s="4">
        <f>Table1[[#This Row],[revenue_adjusted_cpi]]-Table1[[#This Row],[expenditure_adjusted_cpi]]</f>
        <v>296.34114191225672</v>
      </c>
      <c r="O20" s="4">
        <f>Table1[[#This Row],[expenditure_nominal]]/Table1[[#This Row],[ILPOP]]*1000</f>
        <v>4985.9289744612042</v>
      </c>
      <c r="P20" s="4">
        <f>Table1[[#This Row],[revenue_nominal]]/Table1[[#This Row],[ILPOP]]*1000</f>
        <v>5003.1428935698032</v>
      </c>
      <c r="Q20" s="4">
        <f>Table1[[#This Row],[nominal_rev_perperson]]-Table1[[#This Row],[nominal_exp_perperson]]</f>
        <v>17.21391910859893</v>
      </c>
      <c r="R20">
        <v>96.683000000000007</v>
      </c>
      <c r="S20" s="4">
        <f>Table1[[#This Row],[expenditure_nominal]]*($R$29/Table1[[#This Row],[A829RD3Q086SBEA]])</f>
        <v>87373.448071272651</v>
      </c>
      <c r="T20" s="4">
        <f>Table1[[#This Row],[revenue_nominal]]*($R$29/Table1[[#This Row],[A829RD3Q086SBEA]])</f>
        <v>87675.104888897258</v>
      </c>
      <c r="U20" s="4">
        <f>Table1[[#This Row],[rev_adj_sbea]]-Table1[[#This Row],[exp_adj_sbea]]</f>
        <v>301.65681762460736</v>
      </c>
      <c r="V20" s="4">
        <f>Table1[[#This Row],[expenditure_nominal]]*($D$29/Table1[[#This Row],[WPSFD49406]])</f>
        <v>88595.683081586205</v>
      </c>
      <c r="W20" s="4">
        <f>Table1[[#This Row],[revenue_nominal]]*($D$29/Table1[[#This Row],[WPSFD49406]])</f>
        <v>88901.559665418259</v>
      </c>
    </row>
    <row r="21" spans="1:23" x14ac:dyDescent="0.8">
      <c r="A21">
        <v>2017</v>
      </c>
      <c r="B21">
        <v>832826.8</v>
      </c>
      <c r="C21">
        <v>243.61799999999999</v>
      </c>
      <c r="D21">
        <v>100.3</v>
      </c>
      <c r="E21" s="4">
        <v>12779.893</v>
      </c>
      <c r="F21" s="4">
        <f>'Fiscal Gap'!B21</f>
        <v>71724.190436100005</v>
      </c>
      <c r="G21" s="4">
        <f>'Fiscal Gap'!C21</f>
        <v>63653.854908840003</v>
      </c>
      <c r="H21" s="4">
        <f>Table1[[#This Row],[revenue_nominal]]-Table1[[#This Row],[expenditure_nominal]]</f>
        <v>-8070.335527260002</v>
      </c>
      <c r="I21" s="1">
        <f>'Fiscal Gap'!B21/(Table1[[#This Row],[ILNGSP]])</f>
        <v>8.6121376540836583E-2</v>
      </c>
      <c r="J21" s="1">
        <f>'Fiscal Gap'!C21/Table1[[#This Row],[ILNGSP]]</f>
        <v>7.6431083760561014E-2</v>
      </c>
      <c r="K21" s="2">
        <f>Table1[[#This Row],[revenue_share_gsp]]-Table1[[#This Row],[expenditure_share_gsp]]</f>
        <v>-9.6902927802755695E-3</v>
      </c>
      <c r="L21" s="4">
        <f>'Fiscal Gap'!B21*($C$29/Table1[[#This Row],[CPIAUCSL]])</f>
        <v>93942.914848218963</v>
      </c>
      <c r="M21" s="4">
        <f>'Fiscal Gap'!C21*($C$29/Table1[[#This Row],[CPIAUCSL]])</f>
        <v>83372.550252617293</v>
      </c>
      <c r="N21" s="4">
        <f>Table1[[#This Row],[revenue_adjusted_cpi]]-Table1[[#This Row],[expenditure_adjusted_cpi]]</f>
        <v>-10570.36459560167</v>
      </c>
      <c r="O21" s="4">
        <f>Table1[[#This Row],[expenditure_nominal]]/Table1[[#This Row],[ILPOP]]*1000</f>
        <v>5612.2684623494115</v>
      </c>
      <c r="P21" s="4">
        <f>Table1[[#This Row],[revenue_nominal]]/Table1[[#This Row],[ILPOP]]*1000</f>
        <v>4980.7815221019464</v>
      </c>
      <c r="Q21" s="4">
        <f>Table1[[#This Row],[nominal_rev_perperson]]-Table1[[#This Row],[nominal_exp_perperson]]</f>
        <v>-631.4869402474651</v>
      </c>
      <c r="R21">
        <v>99.100999999999999</v>
      </c>
      <c r="S21" s="4">
        <f>Table1[[#This Row],[expenditure_nominal]]*($R$29/Table1[[#This Row],[A829RD3Q086SBEA]])</f>
        <v>95636.837654682487</v>
      </c>
      <c r="T21" s="4">
        <f>Table1[[#This Row],[revenue_nominal]]*($R$29/Table1[[#This Row],[A829RD3Q086SBEA]])</f>
        <v>84875.874527088788</v>
      </c>
      <c r="U21" s="4">
        <f>Table1[[#This Row],[rev_adj_sbea]]-Table1[[#This Row],[exp_adj_sbea]]</f>
        <v>-10760.963127593699</v>
      </c>
      <c r="V21" s="4">
        <f>Table1[[#This Row],[expenditure_nominal]]*($D$29/Table1[[#This Row],[WPSFD49406]])</f>
        <v>97517.010225129838</v>
      </c>
      <c r="W21" s="4">
        <f>Table1[[#This Row],[revenue_nominal]]*($D$29/Table1[[#This Row],[WPSFD49406]])</f>
        <v>86544.491924861446</v>
      </c>
    </row>
    <row r="22" spans="1:23" x14ac:dyDescent="0.8">
      <c r="A22">
        <v>2018</v>
      </c>
      <c r="B22">
        <v>871024.2</v>
      </c>
      <c r="C22">
        <v>248.85900000000001</v>
      </c>
      <c r="D22">
        <v>103.8</v>
      </c>
      <c r="E22" s="4">
        <v>12724.684999999999</v>
      </c>
      <c r="F22" s="4">
        <f>'Fiscal Gap'!B22</f>
        <v>74966.127536920001</v>
      </c>
      <c r="G22" s="4">
        <f>'Fiscal Gap'!C22</f>
        <v>73008.551489699996</v>
      </c>
      <c r="H22" s="4">
        <f>Table1[[#This Row],[revenue_nominal]]-Table1[[#This Row],[expenditure_nominal]]</f>
        <v>-1957.5760472200054</v>
      </c>
      <c r="I22" s="1">
        <f>'Fiscal Gap'!B22/(Table1[[#This Row],[ILNGSP]])</f>
        <v>8.6066641474393024E-2</v>
      </c>
      <c r="J22" s="1">
        <f>'Fiscal Gap'!C22/Table1[[#This Row],[ILNGSP]]</f>
        <v>8.3819199845078934E-2</v>
      </c>
      <c r="K22" s="2">
        <f>Table1[[#This Row],[revenue_share_gsp]]-Table1[[#This Row],[expenditure_share_gsp]]</f>
        <v>-2.2474416293140898E-3</v>
      </c>
      <c r="L22" s="4">
        <f>'Fiscal Gap'!B22*($C$29/Table1[[#This Row],[CPIAUCSL]])</f>
        <v>96121.264536326416</v>
      </c>
      <c r="M22" s="4">
        <f>'Fiscal Gap'!C22*($C$29/Table1[[#This Row],[CPIAUCSL]])</f>
        <v>93611.268471875286</v>
      </c>
      <c r="N22" s="4">
        <f>Table1[[#This Row],[revenue_adjusted_cpi]]-Table1[[#This Row],[expenditure_adjusted_cpi]]</f>
        <v>-2509.9960644511302</v>
      </c>
      <c r="O22" s="4">
        <f>Table1[[#This Row],[expenditure_nominal]]/Table1[[#This Row],[ILPOP]]*1000</f>
        <v>5891.3935816030025</v>
      </c>
      <c r="P22" s="4">
        <f>Table1[[#This Row],[revenue_nominal]]/Table1[[#This Row],[ILPOP]]*1000</f>
        <v>5737.5527558992626</v>
      </c>
      <c r="Q22" s="4">
        <f>Table1[[#This Row],[nominal_rev_perperson]]-Table1[[#This Row],[nominal_exp_perperson]]</f>
        <v>-153.84082570373994</v>
      </c>
      <c r="R22">
        <v>102.756</v>
      </c>
      <c r="S22" s="4">
        <f>Table1[[#This Row],[expenditure_nominal]]*($R$29/Table1[[#This Row],[A829RD3Q086SBEA]])</f>
        <v>96404.093764414196</v>
      </c>
      <c r="T22" s="4">
        <f>Table1[[#This Row],[revenue_nominal]]*($R$29/Table1[[#This Row],[A829RD3Q086SBEA]])</f>
        <v>93886.712234813021</v>
      </c>
      <c r="U22" s="4">
        <f>Table1[[#This Row],[rev_adj_sbea]]-Table1[[#This Row],[exp_adj_sbea]]</f>
        <v>-2517.3815296011744</v>
      </c>
      <c r="V22" s="4">
        <f>Table1[[#This Row],[expenditure_nominal]]*($D$29/Table1[[#This Row],[WPSFD49406]])</f>
        <v>98488.01393142817</v>
      </c>
      <c r="W22" s="4">
        <f>Table1[[#This Row],[revenue_nominal]]*($D$29/Table1[[#This Row],[WPSFD49406]])</f>
        <v>95916.21539594316</v>
      </c>
    </row>
    <row r="23" spans="1:23" x14ac:dyDescent="0.8">
      <c r="A23">
        <v>2019</v>
      </c>
      <c r="B23">
        <v>895601.8</v>
      </c>
      <c r="C23">
        <v>252.56100000000001</v>
      </c>
      <c r="D23">
        <v>105.5</v>
      </c>
      <c r="E23" s="4">
        <v>12667.017</v>
      </c>
      <c r="F23" s="4">
        <f>'Fiscal Gap'!B23</f>
        <v>74401.846659190007</v>
      </c>
      <c r="G23" s="4">
        <f>'Fiscal Gap'!C23</f>
        <v>74631.657433760003</v>
      </c>
      <c r="H23" s="4">
        <f>Table1[[#This Row],[revenue_nominal]]-Table1[[#This Row],[expenditure_nominal]]</f>
        <v>229.81077456999628</v>
      </c>
      <c r="I23" s="1">
        <f>'Fiscal Gap'!B23/(Table1[[#This Row],[ILNGSP]])</f>
        <v>8.3074695315697222E-2</v>
      </c>
      <c r="J23" s="1">
        <f>'Fiscal Gap'!C23/Table1[[#This Row],[ILNGSP]]</f>
        <v>8.3331294592931815E-2</v>
      </c>
      <c r="K23" s="2">
        <f>Table1[[#This Row],[revenue_share_gsp]]-Table1[[#This Row],[expenditure_share_gsp]]</f>
        <v>2.5659927723459264E-4</v>
      </c>
      <c r="L23" s="4">
        <f>'Fiscal Gap'!B23*($C$29/Table1[[#This Row],[CPIAUCSL]])</f>
        <v>93999.42050868622</v>
      </c>
      <c r="M23" s="4">
        <f>'Fiscal Gap'!C23*($C$29/Table1[[#This Row],[CPIAUCSL]])</f>
        <v>94289.763834910162</v>
      </c>
      <c r="N23" s="4">
        <f>Table1[[#This Row],[revenue_adjusted_cpi]]-Table1[[#This Row],[expenditure_adjusted_cpi]]</f>
        <v>290.3433262239414</v>
      </c>
      <c r="O23" s="4">
        <f>Table1[[#This Row],[expenditure_nominal]]/Table1[[#This Row],[ILPOP]]*1000</f>
        <v>5873.6675461310278</v>
      </c>
      <c r="P23" s="4">
        <f>Table1[[#This Row],[revenue_nominal]]/Table1[[#This Row],[ILPOP]]*1000</f>
        <v>5891.8100002360461</v>
      </c>
      <c r="Q23" s="4">
        <f>Table1[[#This Row],[nominal_rev_perperson]]-Table1[[#This Row],[nominal_exp_perperson]]</f>
        <v>18.14245410501826</v>
      </c>
      <c r="R23">
        <v>104.676</v>
      </c>
      <c r="S23" s="4">
        <f>Table1[[#This Row],[expenditure_nominal]]*($R$29/Table1[[#This Row],[A829RD3Q086SBEA]])</f>
        <v>93923.482167755981</v>
      </c>
      <c r="T23" s="4">
        <f>Table1[[#This Row],[revenue_nominal]]*($R$29/Table1[[#This Row],[A829RD3Q086SBEA]])</f>
        <v>94213.590937315908</v>
      </c>
      <c r="U23" s="4">
        <f>Table1[[#This Row],[rev_adj_sbea]]-Table1[[#This Row],[exp_adj_sbea]]</f>
        <v>290.10876955992717</v>
      </c>
      <c r="V23" s="4">
        <f>Table1[[#This Row],[expenditure_nominal]]*($D$29/Table1[[#This Row],[WPSFD49406]])</f>
        <v>96171.615422436793</v>
      </c>
      <c r="W23" s="4">
        <f>Table1[[#This Row],[revenue_nominal]]*($D$29/Table1[[#This Row],[WPSFD49406]])</f>
        <v>96468.668176155625</v>
      </c>
    </row>
    <row r="24" spans="1:23" x14ac:dyDescent="0.8">
      <c r="A24">
        <v>2020</v>
      </c>
      <c r="B24">
        <v>860807.8</v>
      </c>
      <c r="C24">
        <v>259.12700000000001</v>
      </c>
      <c r="D24">
        <v>107.5</v>
      </c>
      <c r="E24" s="4">
        <v>12799.088</v>
      </c>
      <c r="F24" s="4">
        <f>'Fiscal Gap'!B24</f>
        <v>81603.22934659</v>
      </c>
      <c r="G24" s="4">
        <f>'Fiscal Gap'!C24</f>
        <v>80582.050002880002</v>
      </c>
      <c r="H24" s="4">
        <f>Table1[[#This Row],[revenue_nominal]]-Table1[[#This Row],[expenditure_nominal]]</f>
        <v>-1021.1793437099986</v>
      </c>
      <c r="I24" s="1">
        <f>'Fiscal Gap'!B24/(Table1[[#This Row],[ILNGSP]])</f>
        <v>9.4798431597146307E-2</v>
      </c>
      <c r="J24" s="1">
        <f>'Fiscal Gap'!C24/Table1[[#This Row],[ILNGSP]]</f>
        <v>9.3612128053300631E-2</v>
      </c>
      <c r="K24" s="2">
        <f>Table1[[#This Row],[revenue_share_gsp]]-Table1[[#This Row],[expenditure_share_gsp]]</f>
        <v>-1.1863035438456765E-3</v>
      </c>
      <c r="L24" s="4">
        <f>'Fiscal Gap'!B24*($C$29/Table1[[#This Row],[CPIAUCSL]])</f>
        <v>100485.27571146973</v>
      </c>
      <c r="M24" s="4">
        <f>'Fiscal Gap'!C24*($C$29/Table1[[#This Row],[CPIAUCSL]])</f>
        <v>99227.807242081952</v>
      </c>
      <c r="N24" s="4">
        <f>Table1[[#This Row],[revenue_adjusted_cpi]]-Table1[[#This Row],[expenditure_adjusted_cpi]]</f>
        <v>-1257.4684693877789</v>
      </c>
      <c r="O24" s="4">
        <f>Table1[[#This Row],[expenditure_nominal]]/Table1[[#This Row],[ILPOP]]*1000</f>
        <v>6375.706561794872</v>
      </c>
      <c r="P24" s="4">
        <f>Table1[[#This Row],[revenue_nominal]]/Table1[[#This Row],[ILPOP]]*1000</f>
        <v>6295.9212408634121</v>
      </c>
      <c r="Q24" s="4">
        <f>Table1[[#This Row],[nominal_rev_perperson]]-Table1[[#This Row],[nominal_exp_perperson]]</f>
        <v>-79.785320931459864</v>
      </c>
      <c r="R24">
        <v>107.818</v>
      </c>
      <c r="S24" s="4">
        <f>Table1[[#This Row],[expenditure_nominal]]*($R$29/Table1[[#This Row],[A829RD3Q086SBEA]])</f>
        <v>100012.35720462028</v>
      </c>
      <c r="T24" s="4">
        <f>Table1[[#This Row],[revenue_nominal]]*($R$29/Table1[[#This Row],[A829RD3Q086SBEA]])</f>
        <v>98760.806817327029</v>
      </c>
      <c r="U24" s="4">
        <f>Table1[[#This Row],[rev_adj_sbea]]-Table1[[#This Row],[exp_adj_sbea]]</f>
        <v>-1251.5503872932459</v>
      </c>
      <c r="V24" s="4">
        <f>Table1[[#This Row],[expenditure_nominal]]*($D$29/Table1[[#This Row],[WPSFD49406]])</f>
        <v>103517.68170014076</v>
      </c>
      <c r="W24" s="4">
        <f>Table1[[#This Row],[revenue_nominal]]*($D$29/Table1[[#This Row],[WPSFD49406]])</f>
        <v>102222.26583109528</v>
      </c>
    </row>
    <row r="25" spans="1:23" x14ac:dyDescent="0.8">
      <c r="A25">
        <v>2021</v>
      </c>
      <c r="B25">
        <v>947223.9</v>
      </c>
      <c r="C25">
        <v>262.63900000000001</v>
      </c>
      <c r="D25">
        <v>108.9</v>
      </c>
      <c r="E25" s="4">
        <v>12700.641</v>
      </c>
      <c r="F25" s="4">
        <f>'Fiscal Gap'!B25</f>
        <v>92883.163981389996</v>
      </c>
      <c r="G25" s="4">
        <f>'Fiscal Gap'!C25</f>
        <v>95200.508864670002</v>
      </c>
      <c r="H25" s="4">
        <f>Table1[[#This Row],[revenue_nominal]]-Table1[[#This Row],[expenditure_nominal]]</f>
        <v>2317.3448832800059</v>
      </c>
      <c r="I25" s="1">
        <f>'Fiscal Gap'!B25/(Table1[[#This Row],[ILNGSP]])</f>
        <v>9.8058298551577924E-2</v>
      </c>
      <c r="J25" s="1">
        <f>'Fiscal Gap'!C25/Table1[[#This Row],[ILNGSP]]</f>
        <v>0.100504758024655</v>
      </c>
      <c r="K25" s="2">
        <f>Table1[[#This Row],[revenue_share_gsp]]-Table1[[#This Row],[expenditure_share_gsp]]</f>
        <v>2.4464594730770756E-3</v>
      </c>
      <c r="L25" s="4">
        <f>'Fiscal Gap'!B25*($C$29/Table1[[#This Row],[CPIAUCSL]])</f>
        <v>112845.83501371011</v>
      </c>
      <c r="M25" s="4">
        <f>'Fiscal Gap'!C25*($C$29/Table1[[#This Row],[CPIAUCSL]])</f>
        <v>115661.22918375448</v>
      </c>
      <c r="N25" s="4">
        <f>Table1[[#This Row],[revenue_adjusted_cpi]]-Table1[[#This Row],[expenditure_adjusted_cpi]]</f>
        <v>2815.3941700443684</v>
      </c>
      <c r="O25" s="4">
        <f>Table1[[#This Row],[expenditure_nominal]]/Table1[[#This Row],[ILPOP]]*1000</f>
        <v>7313.2658407863028</v>
      </c>
      <c r="P25" s="4">
        <f>Table1[[#This Row],[revenue_nominal]]/Table1[[#This Row],[ILPOP]]*1000</f>
        <v>7495.7247326863271</v>
      </c>
      <c r="Q25" s="4">
        <f>Table1[[#This Row],[nominal_rev_perperson]]-Table1[[#This Row],[nominal_exp_perperson]]</f>
        <v>182.45889190002435</v>
      </c>
      <c r="R25">
        <v>112.355</v>
      </c>
      <c r="S25" s="4">
        <f>Table1[[#This Row],[expenditure_nominal]]*($R$29/Table1[[#This Row],[A829RD3Q086SBEA]])</f>
        <v>109240.12435285348</v>
      </c>
      <c r="T25" s="4">
        <f>Table1[[#This Row],[revenue_nominal]]*($R$29/Table1[[#This Row],[A829RD3Q086SBEA]])</f>
        <v>111965.55953794987</v>
      </c>
      <c r="U25" s="4">
        <f>Table1[[#This Row],[rev_adj_sbea]]-Table1[[#This Row],[exp_adj_sbea]]</f>
        <v>2725.4351850963867</v>
      </c>
      <c r="V25" s="4">
        <f>Table1[[#This Row],[expenditure_nominal]]*($D$29/Table1[[#This Row],[WPSFD49406]])</f>
        <v>116312.06785103922</v>
      </c>
      <c r="W25" s="4">
        <f>Table1[[#This Row],[revenue_nominal]]*($D$29/Table1[[#This Row],[WPSFD49406]])</f>
        <v>119213.94116957008</v>
      </c>
    </row>
    <row r="26" spans="1:23" x14ac:dyDescent="0.8">
      <c r="A26">
        <v>2022</v>
      </c>
      <c r="B26">
        <v>1037735.9</v>
      </c>
      <c r="C26">
        <v>282.54199999999997</v>
      </c>
      <c r="D26">
        <v>122.42</v>
      </c>
      <c r="E26" s="4">
        <v>12621.821</v>
      </c>
      <c r="F26" s="4">
        <f>'Fiscal Gap'!B26</f>
        <v>100065.05532539</v>
      </c>
      <c r="G26" s="4">
        <f>'Fiscal Gap'!C26</f>
        <v>116055.6865928</v>
      </c>
      <c r="H26" s="4">
        <f>Table1[[#This Row],[revenue_nominal]]-Table1[[#This Row],[expenditure_nominal]]</f>
        <v>15990.631267410005</v>
      </c>
      <c r="I26" s="1">
        <f>'Fiscal Gap'!B26/(Table1[[#This Row],[ILNGSP]])</f>
        <v>9.6426321307174587E-2</v>
      </c>
      <c r="J26" s="1">
        <f>'Fiscal Gap'!C26/Table1[[#This Row],[ILNGSP]]</f>
        <v>0.11183547431750217</v>
      </c>
      <c r="K26" s="2">
        <f>Table1[[#This Row],[revenue_share_gsp]]-Table1[[#This Row],[expenditure_share_gsp]]</f>
        <v>1.5409153010327581E-2</v>
      </c>
      <c r="L26" s="4">
        <f>'Fiscal Gap'!B26*($C$29/Table1[[#This Row],[CPIAUCSL]])</f>
        <v>113007.47585688994</v>
      </c>
      <c r="M26" s="4">
        <f>'Fiscal Gap'!C26*($C$29/Table1[[#This Row],[CPIAUCSL]])</f>
        <v>131066.33637530063</v>
      </c>
      <c r="N26" s="4">
        <f>Table1[[#This Row],[revenue_adjusted_cpi]]-Table1[[#This Row],[expenditure_adjusted_cpi]]</f>
        <v>18058.860518410685</v>
      </c>
      <c r="O26" s="4">
        <f>Table1[[#This Row],[expenditure_nominal]]/Table1[[#This Row],[ILPOP]]*1000</f>
        <v>7927.9412475735471</v>
      </c>
      <c r="P26" s="4">
        <f>Table1[[#This Row],[revenue_nominal]]/Table1[[#This Row],[ILPOP]]*1000</f>
        <v>9194.8449112691433</v>
      </c>
      <c r="Q26" s="4">
        <f>Table1[[#This Row],[nominal_rev_perperson]]-Table1[[#This Row],[nominal_exp_perperson]]</f>
        <v>1266.9036636955962</v>
      </c>
      <c r="R26">
        <v>121.898</v>
      </c>
      <c r="S26" s="4">
        <f>Table1[[#This Row],[expenditure_nominal]]*($R$29/Table1[[#This Row],[A829RD3Q086SBEA]])</f>
        <v>108473.44891427553</v>
      </c>
      <c r="T26" s="4">
        <f>Table1[[#This Row],[revenue_nominal]]*($R$29/Table1[[#This Row],[A829RD3Q086SBEA]])</f>
        <v>125807.76125989914</v>
      </c>
      <c r="U26" s="4">
        <f>Table1[[#This Row],[rev_adj_sbea]]-Table1[[#This Row],[exp_adj_sbea]]</f>
        <v>17334.312345623606</v>
      </c>
      <c r="V26" s="4">
        <f>Table1[[#This Row],[expenditure_nominal]]*($D$29/Table1[[#This Row],[WPSFD49406]])</f>
        <v>111466.84797964475</v>
      </c>
      <c r="W26" s="4">
        <f>Table1[[#This Row],[revenue_nominal]]*($D$29/Table1[[#This Row],[WPSFD49406]])</f>
        <v>129279.51253858475</v>
      </c>
    </row>
    <row r="27" spans="1:23" x14ac:dyDescent="0.8">
      <c r="A27">
        <v>2023</v>
      </c>
      <c r="B27">
        <v>1100794.1000000001</v>
      </c>
      <c r="C27">
        <v>300.45600000000002</v>
      </c>
      <c r="D27">
        <v>132.21299999999999</v>
      </c>
      <c r="E27" s="4">
        <v>12642.259</v>
      </c>
      <c r="F27" s="4">
        <f>'Fiscal Gap'!B27</f>
        <v>111971.76886872</v>
      </c>
      <c r="G27" s="4">
        <f>'Fiscal Gap'!C27</f>
        <v>111766.06624185</v>
      </c>
      <c r="H27" s="4">
        <f>Table1[[#This Row],[revenue_nominal]]-Table1[[#This Row],[expenditure_nominal]]</f>
        <v>-205.70262686999922</v>
      </c>
      <c r="I27" s="1">
        <f>'Fiscal Gap'!B27/(Table1[[#This Row],[ILNGSP]])</f>
        <v>0.10171908522104178</v>
      </c>
      <c r="J27" s="1">
        <f>'Fiscal Gap'!C27/Table1[[#This Row],[ILNGSP]]</f>
        <v>0.1015322177343156</v>
      </c>
      <c r="K27" s="2">
        <f>Table1[[#This Row],[revenue_share_gsp]]-Table1[[#This Row],[expenditure_share_gsp]]</f>
        <v>-1.8686748672618048E-4</v>
      </c>
      <c r="L27" s="4">
        <f>'Fiscal Gap'!B27*($C$29/Table1[[#This Row],[CPIAUCSL]])</f>
        <v>118914.66251712193</v>
      </c>
      <c r="M27" s="4">
        <f>'Fiscal Gap'!C27*($C$29/Table1[[#This Row],[CPIAUCSL]])</f>
        <v>118696.20514433709</v>
      </c>
      <c r="N27" s="4">
        <f>Table1[[#This Row],[revenue_adjusted_cpi]]-Table1[[#This Row],[expenditure_adjusted_cpi]]</f>
        <v>-218.45737278484739</v>
      </c>
      <c r="O27" s="4">
        <f>Table1[[#This Row],[expenditure_nominal]]/Table1[[#This Row],[ILPOP]]*1000</f>
        <v>8856.9431197952836</v>
      </c>
      <c r="P27" s="4">
        <f>Table1[[#This Row],[revenue_nominal]]/Table1[[#This Row],[ILPOP]]*1000</f>
        <v>8840.672085728509</v>
      </c>
      <c r="Q27" s="4">
        <f>Table1[[#This Row],[nominal_rev_perperson]]-Table1[[#This Row],[nominal_exp_perperson]]</f>
        <v>-16.271034066774519</v>
      </c>
      <c r="R27">
        <v>127.366</v>
      </c>
      <c r="S27" s="4">
        <f>Table1[[#This Row],[expenditure_nominal]]*($R$29/Table1[[#This Row],[A829RD3Q086SBEA]])</f>
        <v>116169.63326226409</v>
      </c>
      <c r="T27" s="4">
        <f>Table1[[#This Row],[revenue_nominal]]*($R$29/Table1[[#This Row],[A829RD3Q086SBEA]])</f>
        <v>115956.21876532435</v>
      </c>
      <c r="U27" s="4">
        <f>Table1[[#This Row],[rev_adj_sbea]]-Table1[[#This Row],[exp_adj_sbea]]</f>
        <v>-213.41449693974573</v>
      </c>
      <c r="V27" s="4">
        <f>Table1[[#This Row],[expenditure_nominal]]*($D$29/Table1[[#This Row],[WPSFD49406]])</f>
        <v>115491.50347438207</v>
      </c>
      <c r="W27" s="4">
        <f>Table1[[#This Row],[revenue_nominal]]*($D$29/Table1[[#This Row],[WPSFD49406]])</f>
        <v>115279.33476537741</v>
      </c>
    </row>
    <row r="28" spans="1:23" x14ac:dyDescent="0.8">
      <c r="A28">
        <v>2024</v>
      </c>
      <c r="B28">
        <v>1148106.1000000001</v>
      </c>
      <c r="C28">
        <v>309.79399999999998</v>
      </c>
      <c r="D28">
        <v>131.88200000000001</v>
      </c>
      <c r="E28" s="4">
        <v>12710.157999999999</v>
      </c>
      <c r="F28" s="4">
        <f>'Fiscal Gap'!B28</f>
        <v>114997.03737177</v>
      </c>
      <c r="G28" s="4">
        <f>'Fiscal Gap'!C28</f>
        <v>115121.08453568</v>
      </c>
      <c r="H28" s="4">
        <f>Table1[[#This Row],[revenue_nominal]]-Table1[[#This Row],[expenditure_nominal]]</f>
        <v>124.04716390999965</v>
      </c>
      <c r="I28" s="1">
        <f>'Fiscal Gap'!B28/(Table1[[#This Row],[ILNGSP]])</f>
        <v>0.10016237817373323</v>
      </c>
      <c r="J28" s="1">
        <f>'Fiscal Gap'!C28/Table1[[#This Row],[ILNGSP]]</f>
        <v>0.10027042320886544</v>
      </c>
      <c r="K28" s="2">
        <f>Table1[[#This Row],[revenue_share_gsp]]-Table1[[#This Row],[expenditure_share_gsp]]</f>
        <v>1.0804503513220376E-4</v>
      </c>
      <c r="L28" s="4">
        <f>'Fiscal Gap'!B28*($C$29/Table1[[#This Row],[CPIAUCSL]])</f>
        <v>118446.27290008393</v>
      </c>
      <c r="M28" s="4">
        <f>'Fiscal Gap'!C28*($C$29/Table1[[#This Row],[CPIAUCSL]])</f>
        <v>118574.04075015006</v>
      </c>
      <c r="N28" s="4">
        <f>Table1[[#This Row],[revenue_adjusted_cpi]]-Table1[[#This Row],[expenditure_adjusted_cpi]]</f>
        <v>127.76785006612772</v>
      </c>
      <c r="O28" s="4">
        <f>Table1[[#This Row],[expenditure_nominal]]/Table1[[#This Row],[ILPOP]]*1000</f>
        <v>9047.6481387383228</v>
      </c>
      <c r="P28" s="4">
        <f>Table1[[#This Row],[revenue_nominal]]/Table1[[#This Row],[ILPOP]]*1000</f>
        <v>9057.4078257469337</v>
      </c>
      <c r="Q28" s="4">
        <f>Table1[[#This Row],[nominal_rev_perperson]]-Table1[[#This Row],[nominal_exp_perperson]]</f>
        <v>9.7596870086108538</v>
      </c>
      <c r="R28">
        <v>129.56399999999999</v>
      </c>
      <c r="S28" s="4">
        <f>Table1[[#This Row],[expenditure_nominal]]*($R$29/Table1[[#This Row],[A829RD3Q086SBEA]])</f>
        <v>117284.30362865502</v>
      </c>
      <c r="T28" s="4">
        <f>Table1[[#This Row],[revenue_nominal]]*($R$29/Table1[[#This Row],[A829RD3Q086SBEA]])</f>
        <v>117410.81806388573</v>
      </c>
      <c r="U28" s="4">
        <f>Table1[[#This Row],[rev_adj_sbea]]-Table1[[#This Row],[exp_adj_sbea]]</f>
        <v>126.51443523071066</v>
      </c>
      <c r="V28" s="4">
        <f>Table1[[#This Row],[expenditure_nominal]]*($D$29/Table1[[#This Row],[WPSFD49406]])</f>
        <v>118909.56301353409</v>
      </c>
      <c r="W28" s="4">
        <f>Table1[[#This Row],[revenue_nominal]]*($D$29/Table1[[#This Row],[WPSFD49406]])</f>
        <v>119037.83061408035</v>
      </c>
    </row>
    <row r="29" spans="1:23" x14ac:dyDescent="0.8">
      <c r="A29">
        <v>2025</v>
      </c>
      <c r="C29">
        <v>319.08600000000001</v>
      </c>
      <c r="D29">
        <v>136.369</v>
      </c>
      <c r="F29" s="4">
        <f>'Fiscal Gap'!B29</f>
        <v>119505.48449939</v>
      </c>
      <c r="G29" s="4">
        <f>'Fiscal Gap'!C29</f>
        <v>118157.29579629999</v>
      </c>
      <c r="H29" s="4">
        <f>Table1[[#This Row],[revenue_nominal]]-Table1[[#This Row],[expenditure_nominal]]</f>
        <v>-1348.1887030900107</v>
      </c>
      <c r="I29" s="1"/>
      <c r="K29"/>
      <c r="L29" s="4">
        <f>'Fiscal Gap'!B29*($C$29/Table1[[#This Row],[CPIAUCSL]])</f>
        <v>119505.48449939</v>
      </c>
      <c r="M29" s="4">
        <f>'Fiscal Gap'!C29*($C$29/Table1[[#This Row],[CPIAUCSL]])</f>
        <v>118157.29579629999</v>
      </c>
      <c r="N29" s="4">
        <f>Table1[[#This Row],[revenue_adjusted_cpi]]-Table1[[#This Row],[expenditure_adjusted_cpi]]</f>
        <v>-1348.1887030900107</v>
      </c>
      <c r="O29" s="4" t="e">
        <f>Table1[[#This Row],[expenditure_nominal]]/Table1[[#This Row],[ILPOP]]*1000</f>
        <v>#DIV/0!</v>
      </c>
      <c r="P29" s="4" t="e">
        <f>Table1[[#This Row],[revenue_nominal]]/Table1[[#This Row],[ILPOP]]*1000</f>
        <v>#DIV/0!</v>
      </c>
      <c r="Q29" s="4" t="e">
        <f>Table1[[#This Row],[nominal_rev_perperson]]-Table1[[#This Row],[nominal_exp_perperson]]</f>
        <v>#DIV/0!</v>
      </c>
      <c r="R29">
        <v>132.14099999999999</v>
      </c>
      <c r="S29" s="4">
        <f>Table1[[#This Row],[expenditure_nominal]]*($R$29/Table1[[#This Row],[A829RD3Q086SBEA]])</f>
        <v>119505.48449939</v>
      </c>
      <c r="T29" s="4">
        <f>Table1[[#This Row],[revenue_nominal]]*($R$29/Table1[[#This Row],[A829RD3Q086SBEA]])</f>
        <v>118157.29579629999</v>
      </c>
      <c r="U29" s="4">
        <f>Table1[[#This Row],[rev_adj_sbea]]-Table1[[#This Row],[exp_adj_sbea]]</f>
        <v>-1348.1887030900107</v>
      </c>
      <c r="V29" s="4">
        <f>Table1[[#This Row],[expenditure_nominal]]*($D$29/Table1[[#This Row],[WPSFD49406]])</f>
        <v>119505.48449939</v>
      </c>
      <c r="W29" s="4">
        <f>Table1[[#This Row],[revenue_nominal]]*($D$29/Table1[[#This Row],[WPSFD49406]])</f>
        <v>118157.29579629999</v>
      </c>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1A476-A278-43D8-A7D7-18895A529922}">
  <dimension ref="A1:D29"/>
  <sheetViews>
    <sheetView workbookViewId="0">
      <selection activeCell="E9" sqref="E9"/>
    </sheetView>
  </sheetViews>
  <sheetFormatPr defaultRowHeight="23.1" x14ac:dyDescent="0.8"/>
  <cols>
    <col min="2" max="2" width="12.9296875" style="4" customWidth="1"/>
    <col min="3" max="3" width="8.9296875" style="4" customWidth="1"/>
    <col min="4" max="4" width="10.73046875" style="4" customWidth="1"/>
  </cols>
  <sheetData>
    <row r="1" spans="1:4" x14ac:dyDescent="0.8">
      <c r="A1" t="s">
        <v>5</v>
      </c>
      <c r="B1" s="4" t="s">
        <v>6</v>
      </c>
      <c r="C1" s="4" t="s">
        <v>7</v>
      </c>
      <c r="D1" s="4" t="s">
        <v>8</v>
      </c>
    </row>
    <row r="2" spans="1:4" x14ac:dyDescent="0.8">
      <c r="A2">
        <v>1998</v>
      </c>
      <c r="B2" s="4">
        <v>31241.142268420001</v>
      </c>
      <c r="C2" s="4">
        <v>32028.331688760001</v>
      </c>
      <c r="D2" s="4">
        <v>787.18942034000099</v>
      </c>
    </row>
    <row r="3" spans="1:4" x14ac:dyDescent="0.8">
      <c r="A3">
        <v>1999</v>
      </c>
      <c r="B3" s="4">
        <v>33845.350926309999</v>
      </c>
      <c r="C3" s="4">
        <v>33963.525296760003</v>
      </c>
      <c r="D3" s="4">
        <v>118.17437045000401</v>
      </c>
    </row>
    <row r="4" spans="1:4" x14ac:dyDescent="0.8">
      <c r="A4">
        <v>2000</v>
      </c>
      <c r="B4" s="4">
        <v>37340.660437159997</v>
      </c>
      <c r="C4" s="4">
        <v>37041.391645399999</v>
      </c>
      <c r="D4" s="4">
        <v>-299.26879175999801</v>
      </c>
    </row>
    <row r="5" spans="1:4" x14ac:dyDescent="0.8">
      <c r="A5">
        <v>2001</v>
      </c>
      <c r="B5" s="4">
        <v>40354.009028469998</v>
      </c>
      <c r="C5" s="4">
        <v>38278.700592430003</v>
      </c>
      <c r="D5" s="4">
        <v>-2075.3084360399998</v>
      </c>
    </row>
    <row r="6" spans="1:4" x14ac:dyDescent="0.8">
      <c r="A6">
        <v>2002</v>
      </c>
      <c r="B6" s="4">
        <v>42063.830838349997</v>
      </c>
      <c r="C6" s="4">
        <v>37919.379338059996</v>
      </c>
      <c r="D6" s="4">
        <v>-4144.4515002899998</v>
      </c>
    </row>
    <row r="7" spans="1:4" x14ac:dyDescent="0.8">
      <c r="A7">
        <v>2003</v>
      </c>
      <c r="B7" s="4">
        <v>42608.364008709999</v>
      </c>
      <c r="C7" s="4">
        <v>38449.20157148</v>
      </c>
      <c r="D7" s="4">
        <v>-4159.1624372300003</v>
      </c>
    </row>
    <row r="8" spans="1:4" x14ac:dyDescent="0.8">
      <c r="A8">
        <v>2004</v>
      </c>
      <c r="B8" s="4">
        <v>53019.315220620003</v>
      </c>
      <c r="C8" s="4">
        <v>42605.136041489997</v>
      </c>
      <c r="D8" s="4">
        <v>-10414.17917913</v>
      </c>
    </row>
    <row r="9" spans="1:4" x14ac:dyDescent="0.8">
      <c r="A9">
        <v>2005</v>
      </c>
      <c r="B9" s="4">
        <v>45358.950389769998</v>
      </c>
      <c r="C9" s="4">
        <v>44301.935573369999</v>
      </c>
      <c r="D9" s="4">
        <v>-1057.0148164</v>
      </c>
    </row>
    <row r="10" spans="1:4" x14ac:dyDescent="0.8">
      <c r="A10">
        <v>2006</v>
      </c>
      <c r="B10" s="4">
        <v>48059.471020739998</v>
      </c>
      <c r="C10" s="4">
        <v>46165.60639026</v>
      </c>
      <c r="D10" s="4">
        <v>-1893.86463048</v>
      </c>
    </row>
    <row r="11" spans="1:4" x14ac:dyDescent="0.8">
      <c r="A11">
        <v>2007</v>
      </c>
      <c r="B11" s="4">
        <v>51127.60051199</v>
      </c>
      <c r="C11" s="4">
        <v>49489.71073287</v>
      </c>
      <c r="D11" s="4">
        <v>-1637.88977912</v>
      </c>
    </row>
    <row r="12" spans="1:4" x14ac:dyDescent="0.8">
      <c r="A12">
        <v>2008</v>
      </c>
      <c r="B12" s="4">
        <v>54169.864453100003</v>
      </c>
      <c r="C12" s="4">
        <v>51636.908789779998</v>
      </c>
      <c r="D12" s="4">
        <v>-2532.95566332</v>
      </c>
    </row>
    <row r="13" spans="1:4" x14ac:dyDescent="0.8">
      <c r="A13">
        <v>2009</v>
      </c>
      <c r="B13" s="4">
        <v>56749.683344309997</v>
      </c>
      <c r="C13" s="4">
        <v>51460.958706819998</v>
      </c>
      <c r="D13" s="4">
        <v>-5288.7246374899996</v>
      </c>
    </row>
    <row r="14" spans="1:4" x14ac:dyDescent="0.8">
      <c r="A14">
        <v>2010</v>
      </c>
      <c r="B14" s="4">
        <v>58047.799746309996</v>
      </c>
      <c r="C14" s="4">
        <v>51191.541425249998</v>
      </c>
      <c r="D14" s="4">
        <v>-6856.2583210599996</v>
      </c>
    </row>
    <row r="15" spans="1:4" x14ac:dyDescent="0.8">
      <c r="A15">
        <v>2011</v>
      </c>
      <c r="B15" s="4">
        <v>58419.425721690001</v>
      </c>
      <c r="C15" s="4">
        <v>56299.281941729998</v>
      </c>
      <c r="D15" s="4">
        <v>-2120.1437799599998</v>
      </c>
    </row>
    <row r="16" spans="1:4" x14ac:dyDescent="0.8">
      <c r="A16">
        <v>2012</v>
      </c>
      <c r="B16" s="4">
        <v>59861.24594565</v>
      </c>
      <c r="C16" s="4">
        <v>58417.847561850002</v>
      </c>
      <c r="D16" s="4">
        <v>-1443.3983837999999</v>
      </c>
    </row>
    <row r="17" spans="1:4" x14ac:dyDescent="0.8">
      <c r="A17">
        <v>2013</v>
      </c>
      <c r="B17" s="4">
        <v>63284.886307699999</v>
      </c>
      <c r="C17" s="4">
        <v>63096.99085794</v>
      </c>
      <c r="D17" s="4">
        <v>-187.895449759999</v>
      </c>
    </row>
    <row r="18" spans="1:4" x14ac:dyDescent="0.8">
      <c r="A18">
        <v>2014</v>
      </c>
      <c r="B18" s="4">
        <v>66962.793097689995</v>
      </c>
      <c r="C18" s="4">
        <v>65263.785644900003</v>
      </c>
      <c r="D18" s="4">
        <v>-1699.0074527899901</v>
      </c>
    </row>
    <row r="19" spans="1:4" x14ac:dyDescent="0.8">
      <c r="A19">
        <v>2015</v>
      </c>
      <c r="B19" s="4">
        <v>69937.376507930006</v>
      </c>
      <c r="C19" s="4">
        <v>66584.603653209997</v>
      </c>
      <c r="D19" s="4">
        <v>-3352.7728547200099</v>
      </c>
    </row>
    <row r="20" spans="1:4" x14ac:dyDescent="0.8">
      <c r="A20">
        <v>2016</v>
      </c>
      <c r="B20" s="4">
        <v>63928.130405210002</v>
      </c>
      <c r="C20" s="4">
        <v>64148.84226677</v>
      </c>
      <c r="D20" s="4">
        <v>220.711861559997</v>
      </c>
    </row>
    <row r="21" spans="1:4" x14ac:dyDescent="0.8">
      <c r="A21">
        <v>2017</v>
      </c>
      <c r="B21" s="4">
        <v>71724.190436100005</v>
      </c>
      <c r="C21" s="4">
        <v>63653.854908840003</v>
      </c>
      <c r="D21" s="4">
        <v>-8070.3355272600002</v>
      </c>
    </row>
    <row r="22" spans="1:4" x14ac:dyDescent="0.8">
      <c r="A22">
        <v>2018</v>
      </c>
      <c r="B22" s="4">
        <v>74966.127536920001</v>
      </c>
      <c r="C22" s="4">
        <v>73008.551489699996</v>
      </c>
      <c r="D22" s="4">
        <v>-1957.57604722001</v>
      </c>
    </row>
    <row r="23" spans="1:4" x14ac:dyDescent="0.8">
      <c r="A23">
        <v>2019</v>
      </c>
      <c r="B23" s="4">
        <v>74401.846659190007</v>
      </c>
      <c r="C23" s="4">
        <v>74631.657433760003</v>
      </c>
      <c r="D23" s="4">
        <v>229.810774569996</v>
      </c>
    </row>
    <row r="24" spans="1:4" x14ac:dyDescent="0.8">
      <c r="A24">
        <v>2020</v>
      </c>
      <c r="B24" s="4">
        <v>81603.22934659</v>
      </c>
      <c r="C24" s="4">
        <v>80582.050002880002</v>
      </c>
      <c r="D24" s="4">
        <v>-1021.17934371</v>
      </c>
    </row>
    <row r="25" spans="1:4" x14ac:dyDescent="0.8">
      <c r="A25">
        <v>2021</v>
      </c>
      <c r="B25" s="4">
        <v>92883.163981389996</v>
      </c>
      <c r="C25" s="4">
        <v>95200.508864670002</v>
      </c>
      <c r="D25" s="4">
        <v>2317.34488328001</v>
      </c>
    </row>
    <row r="26" spans="1:4" x14ac:dyDescent="0.8">
      <c r="A26">
        <v>2022</v>
      </c>
      <c r="B26" s="4">
        <v>100065.05532539</v>
      </c>
      <c r="C26" s="4">
        <v>116055.6865928</v>
      </c>
      <c r="D26" s="4">
        <v>15990.631267410001</v>
      </c>
    </row>
    <row r="27" spans="1:4" x14ac:dyDescent="0.8">
      <c r="A27">
        <v>2023</v>
      </c>
      <c r="B27" s="4">
        <v>111971.76886872</v>
      </c>
      <c r="C27" s="4">
        <v>111766.06624185</v>
      </c>
      <c r="D27" s="4">
        <v>-205.70262686999899</v>
      </c>
    </row>
    <row r="28" spans="1:4" x14ac:dyDescent="0.8">
      <c r="A28">
        <v>2024</v>
      </c>
      <c r="B28" s="4">
        <v>114997.03737177</v>
      </c>
      <c r="C28" s="4">
        <v>115121.08453568</v>
      </c>
      <c r="D28" s="4">
        <v>124.04716390999999</v>
      </c>
    </row>
    <row r="29" spans="1:4" x14ac:dyDescent="0.8">
      <c r="A29">
        <v>2025</v>
      </c>
      <c r="B29" s="4">
        <v>119505.48449939</v>
      </c>
      <c r="C29" s="4">
        <v>118157.29579629999</v>
      </c>
      <c r="D29" s="4">
        <v>-1348.18870309001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567DB-F29C-4552-AF45-4F3CBACC7D5D}">
  <dimension ref="A1:C17"/>
  <sheetViews>
    <sheetView tabSelected="1" topLeftCell="A3" zoomScale="48" workbookViewId="0">
      <selection activeCell="A7" sqref="A7"/>
    </sheetView>
  </sheetViews>
  <sheetFormatPr defaultRowHeight="23.1" x14ac:dyDescent="0.8"/>
  <cols>
    <col min="1" max="1" width="35.33203125" customWidth="1"/>
    <col min="2" max="2" width="29.46484375" customWidth="1"/>
    <col min="3" max="3" width="41.96484375" style="13" customWidth="1"/>
  </cols>
  <sheetData>
    <row r="1" spans="1:3" x14ac:dyDescent="0.8">
      <c r="A1" t="s">
        <v>20</v>
      </c>
      <c r="B1" t="s">
        <v>19</v>
      </c>
      <c r="C1" s="13" t="s">
        <v>18</v>
      </c>
    </row>
    <row r="2" spans="1:3" x14ac:dyDescent="0.8">
      <c r="A2" s="3" t="s">
        <v>1</v>
      </c>
      <c r="B2" t="s">
        <v>17</v>
      </c>
      <c r="C2" s="13" t="s">
        <v>22</v>
      </c>
    </row>
    <row r="3" spans="1:3" ht="46.2" x14ac:dyDescent="0.8">
      <c r="A3" s="3" t="s">
        <v>2</v>
      </c>
      <c r="B3" t="s">
        <v>28</v>
      </c>
      <c r="C3" s="13" t="s">
        <v>34</v>
      </c>
    </row>
    <row r="4" spans="1:3" ht="46.2" x14ac:dyDescent="0.8">
      <c r="A4" s="3" t="s">
        <v>3</v>
      </c>
      <c r="B4" t="s">
        <v>21</v>
      </c>
      <c r="C4" s="13" t="s">
        <v>35</v>
      </c>
    </row>
    <row r="5" spans="1:3" x14ac:dyDescent="0.8">
      <c r="A5" s="5" t="s">
        <v>4</v>
      </c>
      <c r="B5" t="s">
        <v>24</v>
      </c>
      <c r="C5" s="13" t="s">
        <v>23</v>
      </c>
    </row>
    <row r="6" spans="1:3" ht="46.2" x14ac:dyDescent="0.8">
      <c r="A6" s="5" t="s">
        <v>29</v>
      </c>
      <c r="B6" t="s">
        <v>33</v>
      </c>
      <c r="C6" s="13" t="s">
        <v>30</v>
      </c>
    </row>
    <row r="7" spans="1:3" ht="46.2" x14ac:dyDescent="0.8">
      <c r="A7" s="5" t="s">
        <v>36</v>
      </c>
      <c r="B7" t="s">
        <v>31</v>
      </c>
      <c r="C7" s="13" t="s">
        <v>32</v>
      </c>
    </row>
    <row r="9" spans="1:3" x14ac:dyDescent="0.8">
      <c r="B9" s="13"/>
    </row>
    <row r="10" spans="1:3" x14ac:dyDescent="0.8">
      <c r="A10" s="12" t="s">
        <v>47</v>
      </c>
      <c r="B10" s="12" t="s">
        <v>48</v>
      </c>
      <c r="C10" s="14" t="s">
        <v>54</v>
      </c>
    </row>
    <row r="11" spans="1:3" x14ac:dyDescent="0.8">
      <c r="A11" t="s">
        <v>43</v>
      </c>
      <c r="B11" t="s">
        <v>44</v>
      </c>
    </row>
    <row r="12" spans="1:3" x14ac:dyDescent="0.8">
      <c r="A12" t="s">
        <v>45</v>
      </c>
      <c r="B12" t="s">
        <v>44</v>
      </c>
      <c r="C12" t="s">
        <v>59</v>
      </c>
    </row>
    <row r="13" spans="1:3" ht="138.6" x14ac:dyDescent="0.8">
      <c r="A13" t="s">
        <v>46</v>
      </c>
      <c r="B13" t="s">
        <v>49</v>
      </c>
      <c r="C13" s="13" t="s">
        <v>57</v>
      </c>
    </row>
    <row r="14" spans="1:3" ht="231" x14ac:dyDescent="0.8">
      <c r="A14" t="s">
        <v>50</v>
      </c>
      <c r="B14" t="s">
        <v>53</v>
      </c>
      <c r="C14" s="13" t="s">
        <v>58</v>
      </c>
    </row>
    <row r="15" spans="1:3" ht="161.69999999999999" x14ac:dyDescent="0.8">
      <c r="A15" t="s">
        <v>51</v>
      </c>
      <c r="B15" t="s">
        <v>55</v>
      </c>
      <c r="C15" s="13" t="s">
        <v>60</v>
      </c>
    </row>
    <row r="16" spans="1:3" ht="92.4" x14ac:dyDescent="0.8">
      <c r="A16" t="s">
        <v>52</v>
      </c>
      <c r="B16" t="s">
        <v>56</v>
      </c>
      <c r="C16" s="13" t="s">
        <v>61</v>
      </c>
    </row>
    <row r="17" spans="1:1" x14ac:dyDescent="0.8">
      <c r="A17" s="13"/>
    </row>
  </sheetData>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fred_data_for_index</vt:lpstr>
      <vt:lpstr>Fiscal Gap</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Wilbur-Mujtaba, Alea</cp:lastModifiedBy>
  <dcterms:created xsi:type="dcterms:W3CDTF">2026-02-16T19:05:15Z</dcterms:created>
  <dcterms:modified xsi:type="dcterms:W3CDTF">2026-06-01T20:10:14Z</dcterms:modified>
</cp:coreProperties>
</file>